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Meus documentos\CURSOS\DIO_CAIXA_MICROSOFT COPILOT\05_Projetos Práticos com IA\03_Como organizar sua vida Financeira com Planilhas Inteligentes e IA\"/>
    </mc:Choice>
  </mc:AlternateContent>
  <xr:revisionPtr revIDLastSave="0" documentId="13_ncr:1_{8186F966-DFC3-4E97-BA3C-20CF0D2F6792}" xr6:coauthVersionLast="47" xr6:coauthVersionMax="47" xr10:uidLastSave="{00000000-0000-0000-0000-000000000000}"/>
  <bookViews>
    <workbookView xWindow="28680" yWindow="-120" windowWidth="19440" windowHeight="10320" tabRatio="0" firstSheet="3" activeTab="3" xr2:uid="{00000000-000D-0000-FFFF-FFFF00000000}"/>
  </bookViews>
  <sheets>
    <sheet name="Data" sheetId="2" r:id="rId1"/>
    <sheet name="Caixinha" sheetId="6" r:id="rId2"/>
    <sheet name="Controller" sheetId="3" state="hidden" r:id="rId3"/>
    <sheet name="Dashboard" sheetId="4" r:id="rId4"/>
  </sheets>
  <definedNames>
    <definedName name="_xlnm._FilterDatabase" localSheetId="0" hidden="1">Data!$A$1:$H$37</definedName>
    <definedName name="SegmentaçãodeDados_Categoria">#N/A</definedName>
    <definedName name="SegmentaçãodeDados_Mês">#N/A</definedName>
  </definedNames>
  <calcPr calcId="191029"/>
  <pivotCaches>
    <pivotCache cacheId="37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D3" i="6" l="1"/>
</calcChain>
</file>

<file path=xl/sharedStrings.xml><?xml version="1.0" encoding="utf-8"?>
<sst xmlns="http://schemas.openxmlformats.org/spreadsheetml/2006/main" count="216" uniqueCount="67">
  <si>
    <t>Data</t>
  </si>
  <si>
    <t>Tipo</t>
  </si>
  <si>
    <t>Categoria</t>
  </si>
  <si>
    <t>Descrição</t>
  </si>
  <si>
    <t>Valor</t>
  </si>
  <si>
    <t>Operação Bancária</t>
  </si>
  <si>
    <t>Status</t>
  </si>
  <si>
    <t>Entrada</t>
  </si>
  <si>
    <t>Saída</t>
  </si>
  <si>
    <t>Renda Fixa</t>
  </si>
  <si>
    <t>Alimentação</t>
  </si>
  <si>
    <t>transporte</t>
  </si>
  <si>
    <t>lazer</t>
  </si>
  <si>
    <t>educação</t>
  </si>
  <si>
    <t>vestuário</t>
  </si>
  <si>
    <t>serviços</t>
  </si>
  <si>
    <t>eletrônicos</t>
  </si>
  <si>
    <t>domésticos</t>
  </si>
  <si>
    <t>presentes</t>
  </si>
  <si>
    <t>Transporte</t>
  </si>
  <si>
    <t>Lazer</t>
  </si>
  <si>
    <t>Educação</t>
  </si>
  <si>
    <t>Saúde</t>
  </si>
  <si>
    <t>Investimento</t>
  </si>
  <si>
    <t>Salário mensal</t>
  </si>
  <si>
    <t>supermercado</t>
  </si>
  <si>
    <t>gasolina</t>
  </si>
  <si>
    <t>cinema</t>
  </si>
  <si>
    <t>odontológica</t>
  </si>
  <si>
    <t>material escolar</t>
  </si>
  <si>
    <t>de inverno</t>
  </si>
  <si>
    <t>ações</t>
  </si>
  <si>
    <t>apartamento</t>
  </si>
  <si>
    <t>celular</t>
  </si>
  <si>
    <t>aniversário</t>
  </si>
  <si>
    <t>Parque de diversões</t>
  </si>
  <si>
    <t>Curso online</t>
  </si>
  <si>
    <t>Consulta médica</t>
  </si>
  <si>
    <t>Mensalidade</t>
  </si>
  <si>
    <t>Lanchonete</t>
  </si>
  <si>
    <t>Restaurante</t>
  </si>
  <si>
    <t>Criptomoedas</t>
  </si>
  <si>
    <t>Supermercado</t>
  </si>
  <si>
    <t>Odontológica</t>
  </si>
  <si>
    <t>Show</t>
  </si>
  <si>
    <t>Fundo de investimento</t>
  </si>
  <si>
    <t>Rendimento de investimentos</t>
  </si>
  <si>
    <t>Material escolar</t>
  </si>
  <si>
    <t>Farmácia</t>
  </si>
  <si>
    <t>Gasolina</t>
  </si>
  <si>
    <t>Transferência</t>
  </si>
  <si>
    <t>Débito Automático</t>
  </si>
  <si>
    <t>Cartão de Crédito</t>
  </si>
  <si>
    <t>Recebido</t>
  </si>
  <si>
    <t>Pendente</t>
  </si>
  <si>
    <t>Pago</t>
  </si>
  <si>
    <t>Ações</t>
  </si>
  <si>
    <t>Rótulos de Linha</t>
  </si>
  <si>
    <t>Total Geral</t>
  </si>
  <si>
    <t>Soma de Valor</t>
  </si>
  <si>
    <t>investimento</t>
  </si>
  <si>
    <t>quanto tive por saída, por categoria, 
somado em reais</t>
  </si>
  <si>
    <t>Mês</t>
  </si>
  <si>
    <t>Data de lançamento</t>
  </si>
  <si>
    <t>Depósito reservado</t>
  </si>
  <si>
    <t>Total reservado</t>
  </si>
  <si>
    <t>Meta de reserva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</si>
</sst>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R$&quot;\ * #,##0.00_-;\-&quot;R$&quot;\ * #,##0.00_-;_-&quot;R$&quot;\ * &quot;-&quot;??_-;_-@_-"/>
    <numFmt numFmtId="164" formatCode="&quot;R$&quot;\ #,##0.00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63634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0" fontId="5" fillId="2" borderId="0" applyNumberFormat="0" applyBorder="0" applyAlignment="0" applyProtection="0"/>
  </cellStyleXfs>
  <cellXfs count="24">
    <xf numFmtId="0" fontId="0" fillId="0" borderId="0" xfId="0"/>
    <xf numFmtId="14" fontId="4" fillId="0" borderId="1" xfId="0" applyNumberFormat="1" applyFont="1" applyFill="1" applyBorder="1" applyAlignment="1">
      <alignment horizontal="center" vertical="top"/>
    </xf>
    <xf numFmtId="0" fontId="4" fillId="0" borderId="1" xfId="0" applyFont="1" applyFill="1" applyBorder="1" applyAlignment="1">
      <alignment horizontal="center" vertical="top"/>
    </xf>
    <xf numFmtId="44" fontId="4" fillId="0" borderId="1" xfId="1" applyFont="1" applyFill="1" applyBorder="1" applyAlignment="1">
      <alignment horizontal="center" vertical="top"/>
    </xf>
    <xf numFmtId="0" fontId="2" fillId="0" borderId="0" xfId="0" applyFont="1" applyFill="1"/>
    <xf numFmtId="14" fontId="2" fillId="0" borderId="0" xfId="0" applyNumberFormat="1" applyFont="1" applyFill="1"/>
    <xf numFmtId="44" fontId="2" fillId="0" borderId="0" xfId="1" applyFont="1" applyFill="1"/>
    <xf numFmtId="0" fontId="1" fillId="0" borderId="0" xfId="0" applyFont="1" applyFill="1"/>
    <xf numFmtId="0" fontId="2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center" wrapText="1"/>
    </xf>
    <xf numFmtId="0" fontId="0" fillId="3" borderId="0" xfId="0" applyFill="1"/>
    <xf numFmtId="0" fontId="0" fillId="4" borderId="0" xfId="0" applyFill="1"/>
    <xf numFmtId="0" fontId="4" fillId="0" borderId="1" xfId="0" applyNumberFormat="1" applyFont="1" applyFill="1" applyBorder="1" applyAlignment="1">
      <alignment horizontal="center" vertical="top"/>
    </xf>
    <xf numFmtId="0" fontId="2" fillId="0" borderId="0" xfId="0" applyNumberFormat="1" applyFont="1" applyFill="1" applyAlignment="1">
      <alignment horizontal="center"/>
    </xf>
    <xf numFmtId="0" fontId="0" fillId="5" borderId="0" xfId="0" applyFill="1"/>
    <xf numFmtId="44" fontId="6" fillId="0" borderId="0" xfId="1" applyFont="1"/>
    <xf numFmtId="14" fontId="6" fillId="0" borderId="0" xfId="0" applyNumberFormat="1" applyFont="1"/>
    <xf numFmtId="0" fontId="5" fillId="2" borderId="2" xfId="2" applyBorder="1"/>
    <xf numFmtId="44" fontId="0" fillId="0" borderId="2" xfId="0" applyNumberFormat="1" applyBorder="1"/>
    <xf numFmtId="44" fontId="0" fillId="0" borderId="2" xfId="1" applyFont="1" applyBorder="1"/>
  </cellXfs>
  <cellStyles count="3">
    <cellStyle name="Ênfase2" xfId="2" builtinId="33"/>
    <cellStyle name="Moeda" xfId="1" builtinId="4"/>
    <cellStyle name="Normal" xfId="0" builtinId="0"/>
  </cellStyles>
  <dxfs count="16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/>
        <i val="0"/>
        <sz val="12"/>
        <color theme="0"/>
      </font>
      <border>
        <bottom style="thin">
          <color theme="9"/>
        </bottom>
        <vertical/>
        <horizontal/>
      </border>
    </dxf>
    <dxf>
      <font>
        <color theme="0"/>
      </font>
      <fill>
        <patternFill>
          <bgColor rgb="FF963634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</dxf>
    <dxf>
      <border outline="0">
        <bottom style="thin">
          <color auto="1"/>
        </bottom>
      </border>
    </dxf>
  </dxfs>
  <tableStyles count="1" defaultTableStyle="TableStyleMedium9" defaultPivotStyle="PivotStyleLight16">
    <tableStyle name="SlicerStyleDark6 2" pivot="0" table="0" count="10" xr9:uid="{2561781B-2FE9-4B84-ADFB-2CA8091ECC96}">
      <tableStyleElement type="wholeTable" dxfId="4"/>
      <tableStyleElement type="headerRow" dxfId="3"/>
    </tableStyle>
  </tableStyles>
  <colors>
    <mruColors>
      <color rgb="FFC04F4C"/>
      <color rgb="FF963634"/>
      <color rgb="FFE3B0AF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trike val="0"/>
            <sz val="12"/>
            <color theme="9" tint="-0.24994659260841701"/>
          </font>
          <fill>
            <patternFill patternType="solid">
              <fgColor theme="9" tint="-0.24994659260841701"/>
              <bgColor rgb="FFC04F4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sz val="12"/>
            <color theme="1" tint="0.499984740745262"/>
          </font>
          <fill>
            <patternFill patternType="solid">
              <fgColor theme="9"/>
              <bgColor theme="9" tint="0.59996337778862885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[Finanças_Atualizado.xlsm]Controller!Tabela dinâmica1</c:name>
    <c:fmtId val="3"/>
  </c:pivotSource>
  <c:chart>
    <c:autoTitleDeleted val="1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75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145094866528973E-3"/>
          <c:y val="1.4226852637166009E-2"/>
          <c:w val="0.92426230027817613"/>
          <c:h val="0.804510653562264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Controller!$C$4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Controller!$B$5:$B$15</c:f>
              <c:strCache>
                <c:ptCount val="10"/>
                <c:pt idx="0">
                  <c:v>Alimentação</c:v>
                </c:pt>
                <c:pt idx="1">
                  <c:v>domésticos</c:v>
                </c:pt>
                <c:pt idx="2">
                  <c:v>educação</c:v>
                </c:pt>
                <c:pt idx="3">
                  <c:v>eletrônicos</c:v>
                </c:pt>
                <c:pt idx="4">
                  <c:v>lazer</c:v>
                </c:pt>
                <c:pt idx="5">
                  <c:v>presentes</c:v>
                </c:pt>
                <c:pt idx="6">
                  <c:v>Saúde</c:v>
                </c:pt>
                <c:pt idx="7">
                  <c:v>serviços</c:v>
                </c:pt>
                <c:pt idx="8">
                  <c:v>transporte</c:v>
                </c:pt>
                <c:pt idx="9">
                  <c:v>vestuário</c:v>
                </c:pt>
              </c:strCache>
            </c:strRef>
          </c:cat>
          <c:val>
            <c:numRef>
              <c:f>Controller!$C$5:$C$15</c:f>
              <c:numCache>
                <c:formatCode>"R$"\ #,##0.00</c:formatCode>
                <c:ptCount val="10"/>
                <c:pt idx="0">
                  <c:v>4135.18</c:v>
                </c:pt>
                <c:pt idx="1">
                  <c:v>450</c:v>
                </c:pt>
                <c:pt idx="2">
                  <c:v>4698.55</c:v>
                </c:pt>
                <c:pt idx="3">
                  <c:v>1200</c:v>
                </c:pt>
                <c:pt idx="4">
                  <c:v>1600.38</c:v>
                </c:pt>
                <c:pt idx="5">
                  <c:v>180</c:v>
                </c:pt>
                <c:pt idx="6">
                  <c:v>4935.2700000000004</c:v>
                </c:pt>
                <c:pt idx="7">
                  <c:v>150</c:v>
                </c:pt>
                <c:pt idx="8">
                  <c:v>550</c:v>
                </c:pt>
                <c:pt idx="9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8B-4665-972B-F456056D78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89528128"/>
        <c:axId val="389528544"/>
      </c:barChart>
      <c:catAx>
        <c:axId val="38952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9528544"/>
        <c:crosses val="autoZero"/>
        <c:auto val="1"/>
        <c:lblAlgn val="ctr"/>
        <c:lblOffset val="100"/>
        <c:noMultiLvlLbl val="0"/>
      </c:catAx>
      <c:valAx>
        <c:axId val="389528544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38952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[Finanças_Atualizado.xlsm]Controller!Tabela dinâmica2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Controller!$F$4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Controller!$E$5:$E$8</c:f>
              <c:strCache>
                <c:ptCount val="3"/>
                <c:pt idx="0">
                  <c:v>educação</c:v>
                </c:pt>
                <c:pt idx="1">
                  <c:v>investimento</c:v>
                </c:pt>
                <c:pt idx="2">
                  <c:v>Renda Fixa</c:v>
                </c:pt>
              </c:strCache>
            </c:strRef>
          </c:cat>
          <c:val>
            <c:numRef>
              <c:f>Controller!$F$5:$F$8</c:f>
              <c:numCache>
                <c:formatCode>"R$"\ #,##0.00</c:formatCode>
                <c:ptCount val="3"/>
                <c:pt idx="0">
                  <c:v>10756.77</c:v>
                </c:pt>
                <c:pt idx="1">
                  <c:v>34748.67</c:v>
                </c:pt>
                <c:pt idx="2">
                  <c:v>52696.46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B-4D66-BEAE-7CA10EB4A68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38777200"/>
        <c:axId val="638777616"/>
      </c:barChart>
      <c:catAx>
        <c:axId val="63877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8777616"/>
        <c:crosses val="autoZero"/>
        <c:auto val="1"/>
        <c:lblAlgn val="ctr"/>
        <c:lblOffset val="100"/>
        <c:noMultiLvlLbl val="0"/>
      </c:catAx>
      <c:valAx>
        <c:axId val="638777616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63877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12769132894683E-2"/>
          <c:y val="6.4616266435942232E-2"/>
          <c:w val="0.93893977241187898"/>
          <c:h val="0.8420038451534515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val>
            <c:numRef>
              <c:f>Caixinha!$D$4</c:f>
              <c:numCache>
                <c:formatCode>_("R$"* #,##0.00_);_("R$"* \(#,##0.00\);_("R$"* "-"??_);_(@_)</c:formatCode>
                <c:ptCount val="1"/>
                <c:pt idx="0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D7-4FAE-ACBE-59DE4B69195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66331888"/>
        <c:axId val="666332304"/>
      </c:barChart>
      <c:barChart>
        <c:barDir val="col"/>
        <c:grouping val="stacked"/>
        <c:varyColors val="0"/>
        <c:ser>
          <c:idx val="0"/>
          <c:order val="0"/>
          <c:spPr>
            <a:gradFill>
              <a:gsLst>
                <a:gs pos="53000">
                  <a:srgbClr val="D78E8C"/>
                </a:gs>
                <a:gs pos="0">
                  <a:srgbClr val="C04F4C"/>
                </a:gs>
                <a:gs pos="100000">
                  <a:schemeClr val="bg1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14571473309265"/>
                      <c:h val="7.93844446016466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3D7-4FAE-ACBE-59DE4B6919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Caixinha!$D$3</c:f>
              <c:numCache>
                <c:formatCode>_("R$"* #,##0.00_);_("R$"* \(#,##0.00\);_("R$"* "-"??_);_(@_)</c:formatCode>
                <c:ptCount val="1"/>
                <c:pt idx="0">
                  <c:v>9842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D7-4FAE-ACBE-59DE4B691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8780112"/>
        <c:axId val="1053107248"/>
      </c:barChart>
      <c:catAx>
        <c:axId val="6663318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66332304"/>
        <c:crosses val="autoZero"/>
        <c:auto val="1"/>
        <c:lblAlgn val="ctr"/>
        <c:lblOffset val="100"/>
        <c:noMultiLvlLbl val="0"/>
      </c:catAx>
      <c:valAx>
        <c:axId val="666332304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66331888"/>
        <c:crosses val="autoZero"/>
        <c:crossBetween val="between"/>
      </c:valAx>
      <c:valAx>
        <c:axId val="1053107248"/>
        <c:scaling>
          <c:orientation val="minMax"/>
        </c:scaling>
        <c:delete val="1"/>
        <c:axPos val="r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638780112"/>
        <c:crosses val="max"/>
        <c:crossBetween val="between"/>
      </c:valAx>
      <c:catAx>
        <c:axId val="638780112"/>
        <c:scaling>
          <c:orientation val="minMax"/>
        </c:scaling>
        <c:delete val="1"/>
        <c:axPos val="b"/>
        <c:majorTickMark val="out"/>
        <c:minorTickMark val="none"/>
        <c:tickLblPos val="nextTo"/>
        <c:crossAx val="1053107248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9.svg"/><Relationship Id="rId3" Type="http://schemas.openxmlformats.org/officeDocument/2006/relationships/image" Target="../media/image2.svg"/><Relationship Id="rId7" Type="http://schemas.openxmlformats.org/officeDocument/2006/relationships/hyperlink" Target="#Data!A1"/><Relationship Id="rId12" Type="http://schemas.openxmlformats.org/officeDocument/2006/relationships/image" Target="../media/image8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svg"/><Relationship Id="rId11" Type="http://schemas.microsoft.com/office/2007/relationships/hdphoto" Target="../media/hdphoto1.wdp"/><Relationship Id="rId5" Type="http://schemas.openxmlformats.org/officeDocument/2006/relationships/image" Target="../media/image3.png"/><Relationship Id="rId10" Type="http://schemas.openxmlformats.org/officeDocument/2006/relationships/image" Target="../media/image7.png"/><Relationship Id="rId4" Type="http://schemas.openxmlformats.org/officeDocument/2006/relationships/chart" Target="../charts/chart2.xml"/><Relationship Id="rId9" Type="http://schemas.openxmlformats.org/officeDocument/2006/relationships/image" Target="../media/image6.svg"/><Relationship Id="rId1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182880</xdr:colOff>
          <xdr:row>1</xdr:row>
          <xdr:rowOff>76200</xdr:rowOff>
        </xdr:from>
        <xdr:to>
          <xdr:col>10</xdr:col>
          <xdr:colOff>251460</xdr:colOff>
          <xdr:row>7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 para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5</xdr:row>
          <xdr:rowOff>19050</xdr:rowOff>
        </xdr:from>
        <xdr:to>
          <xdr:col>6</xdr:col>
          <xdr:colOff>171450</xdr:colOff>
          <xdr:row>11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1ECB908-FEE5-47BC-A970-2623770878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 para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170974</xdr:colOff>
      <xdr:row>5</xdr:row>
      <xdr:rowOff>111916</xdr:rowOff>
    </xdr:from>
    <xdr:to>
      <xdr:col>12</xdr:col>
      <xdr:colOff>20002</xdr:colOff>
      <xdr:row>25</xdr:row>
      <xdr:rowOff>119062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0B34734-783B-42AA-8858-268ECE1B6771}"/>
            </a:ext>
          </a:extLst>
        </xdr:cNvPr>
        <xdr:cNvGrpSpPr/>
      </xdr:nvGrpSpPr>
      <xdr:grpSpPr>
        <a:xfrm>
          <a:off x="1725998" y="996380"/>
          <a:ext cx="6576944" cy="3546908"/>
          <a:chOff x="1722597" y="553402"/>
          <a:chExt cx="6520814" cy="3290956"/>
        </a:xfrm>
      </xdr:grpSpPr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F28476A5-B5DB-4BDA-A7FD-956689BB7706}"/>
              </a:ext>
            </a:extLst>
          </xdr:cNvPr>
          <xdr:cNvGrpSpPr/>
        </xdr:nvGrpSpPr>
        <xdr:grpSpPr>
          <a:xfrm>
            <a:off x="1718787" y="551974"/>
            <a:ext cx="6528434" cy="3296194"/>
            <a:chOff x="1718787" y="551974"/>
            <a:chExt cx="6528434" cy="3296194"/>
          </a:xfrm>
        </xdr:grpSpPr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CF1A14B7-1CA5-42C0-8343-E6308A27FA10}"/>
                </a:ext>
              </a:extLst>
            </xdr:cNvPr>
            <xdr:cNvGrpSpPr/>
          </xdr:nvGrpSpPr>
          <xdr:grpSpPr>
            <a:xfrm>
              <a:off x="1716406" y="591979"/>
              <a:ext cx="6527005" cy="3252379"/>
              <a:chOff x="1720216" y="595789"/>
              <a:chExt cx="5427339" cy="3258094"/>
            </a:xfrm>
          </xdr:grpSpPr>
          <xdr:sp macro="" textlink="">
            <xdr:nvSpPr>
              <xdr:cNvPr id="4" name="Retângulo: Cantos Arredondados 3">
                <a:extLst>
                  <a:ext uri="{FF2B5EF4-FFF2-40B4-BE49-F238E27FC236}">
                    <a16:creationId xmlns:a16="http://schemas.microsoft.com/office/drawing/2014/main" id="{7B46C67F-B37F-483D-834E-67A13DE59671}"/>
                  </a:ext>
                </a:extLst>
              </xdr:cNvPr>
              <xdr:cNvSpPr/>
            </xdr:nvSpPr>
            <xdr:spPr>
              <a:xfrm>
                <a:off x="1722119" y="615788"/>
                <a:ext cx="5384760" cy="3238095"/>
              </a:xfrm>
              <a:prstGeom prst="round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graphicFrame macro="">
            <xdr:nvGraphicFramePr>
              <xdr:cNvPr id="2" name="Gráfico 1">
                <a:extLst>
                  <a:ext uri="{FF2B5EF4-FFF2-40B4-BE49-F238E27FC236}">
                    <a16:creationId xmlns:a16="http://schemas.microsoft.com/office/drawing/2014/main" id="{400643BF-138C-4244-A8BB-323488EF4BEC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945952" y="1155888"/>
              <a:ext cx="5201603" cy="267550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sp macro="" textlink="">
            <xdr:nvSpPr>
              <xdr:cNvPr id="8" name="Retângulo: Cantos Superiores Arredondados 7">
                <a:extLst>
                  <a:ext uri="{FF2B5EF4-FFF2-40B4-BE49-F238E27FC236}">
                    <a16:creationId xmlns:a16="http://schemas.microsoft.com/office/drawing/2014/main" id="{2B1B12EA-CD3D-468B-8B8A-ED3FEDB2A3D4}"/>
                  </a:ext>
                </a:extLst>
              </xdr:cNvPr>
              <xdr:cNvSpPr/>
            </xdr:nvSpPr>
            <xdr:spPr>
              <a:xfrm>
                <a:off x="1720216" y="595789"/>
                <a:ext cx="5386665" cy="561549"/>
              </a:xfrm>
              <a:prstGeom prst="round2SameRect">
                <a:avLst>
                  <a:gd name="adj1" fmla="val 50000"/>
                  <a:gd name="adj2" fmla="val 0"/>
                </a:avLst>
              </a:prstGeom>
              <a:solidFill>
                <a:schemeClr val="accent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5946768E-C134-4175-84D7-A7C600D60EC3}"/>
                </a:ext>
              </a:extLst>
            </xdr:cNvPr>
            <xdr:cNvSpPr txBox="1"/>
          </xdr:nvSpPr>
          <xdr:spPr>
            <a:xfrm>
              <a:off x="1718787" y="551974"/>
              <a:ext cx="6488429" cy="5791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2000" b="1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Saídas</a:t>
              </a:r>
            </a:p>
          </xdr:txBody>
        </xdr:sp>
      </xdr:grpSp>
      <xdr:pic>
        <xdr:nvPicPr>
          <xdr:cNvPr id="18" name="Gráfico 17" descr="Gráfico de barras com tendência descendente com preenchimento sólido">
            <a:extLst>
              <a:ext uri="{FF2B5EF4-FFF2-40B4-BE49-F238E27FC236}">
                <a16:creationId xmlns:a16="http://schemas.microsoft.com/office/drawing/2014/main" id="{825DE01F-599D-46D2-ABF9-0263FCA3EA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7272341" y="553402"/>
            <a:ext cx="672570" cy="65365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593407</xdr:colOff>
      <xdr:row>5</xdr:row>
      <xdr:rowOff>92847</xdr:rowOff>
    </xdr:from>
    <xdr:to>
      <xdr:col>20</xdr:col>
      <xdr:colOff>592931</xdr:colOff>
      <xdr:row>25</xdr:row>
      <xdr:rowOff>119062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11DF9E0-0102-4D07-B968-9C8EA8F64B7D}"/>
            </a:ext>
          </a:extLst>
        </xdr:cNvPr>
        <xdr:cNvGrpSpPr/>
      </xdr:nvGrpSpPr>
      <xdr:grpSpPr>
        <a:xfrm>
          <a:off x="8264026" y="981121"/>
          <a:ext cx="5510416" cy="3562167"/>
          <a:chOff x="8217217" y="517189"/>
          <a:chExt cx="5464493" cy="3287015"/>
        </a:xfrm>
      </xdr:grpSpPr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16D255C6-6F3F-4544-A0E3-5A3C0ED1F977}"/>
              </a:ext>
            </a:extLst>
          </xdr:cNvPr>
          <xdr:cNvGrpSpPr/>
        </xdr:nvGrpSpPr>
        <xdr:grpSpPr>
          <a:xfrm>
            <a:off x="8213407" y="574359"/>
            <a:ext cx="5464493" cy="3233655"/>
            <a:chOff x="8207692" y="590551"/>
            <a:chExt cx="5464493" cy="3256515"/>
          </a:xfrm>
        </xdr:grpSpPr>
        <xdr:grpSp>
          <xdr:nvGrpSpPr>
            <xdr:cNvPr id="9" name="Agrupar 8">
              <a:extLst>
                <a:ext uri="{FF2B5EF4-FFF2-40B4-BE49-F238E27FC236}">
                  <a16:creationId xmlns:a16="http://schemas.microsoft.com/office/drawing/2014/main" id="{BE7089E9-56E9-4541-82CB-B3AD2D2342A6}"/>
                </a:ext>
              </a:extLst>
            </xdr:cNvPr>
            <xdr:cNvGrpSpPr/>
          </xdr:nvGrpSpPr>
          <xdr:grpSpPr>
            <a:xfrm>
              <a:off x="8219317" y="594361"/>
              <a:ext cx="5426671" cy="3248895"/>
              <a:chOff x="7784306" y="3274695"/>
              <a:chExt cx="5394285" cy="2962386"/>
            </a:xfrm>
          </xdr:grpSpPr>
          <xdr:grpSp>
            <xdr:nvGrpSpPr>
              <xdr:cNvPr id="7" name="Agrupar 6">
                <a:extLst>
                  <a:ext uri="{FF2B5EF4-FFF2-40B4-BE49-F238E27FC236}">
                    <a16:creationId xmlns:a16="http://schemas.microsoft.com/office/drawing/2014/main" id="{8A2810E6-2895-4EE4-AC7E-50B278174D96}"/>
                  </a:ext>
                </a:extLst>
              </xdr:cNvPr>
              <xdr:cNvGrpSpPr/>
            </xdr:nvGrpSpPr>
            <xdr:grpSpPr>
              <a:xfrm>
                <a:off x="7788116" y="3270885"/>
                <a:ext cx="5394285" cy="2970006"/>
                <a:chOff x="1606867" y="3167538"/>
                <a:chExt cx="5392380" cy="2964291"/>
              </a:xfrm>
            </xdr:grpSpPr>
            <xdr:sp macro="" textlink="">
              <xdr:nvSpPr>
                <xdr:cNvPr id="5" name="Retângulo: Cantos Arredondados 4">
                  <a:extLst>
                    <a:ext uri="{FF2B5EF4-FFF2-40B4-BE49-F238E27FC236}">
                      <a16:creationId xmlns:a16="http://schemas.microsoft.com/office/drawing/2014/main" id="{6E742FF6-9B08-40B5-9532-7A4E585270FD}"/>
                    </a:ext>
                  </a:extLst>
                </xdr:cNvPr>
                <xdr:cNvSpPr/>
              </xdr:nvSpPr>
              <xdr:spPr>
                <a:xfrm>
                  <a:off x="1607821" y="3244209"/>
                  <a:ext cx="5386665" cy="2887620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">
              <xdr:nvSpPr>
                <xdr:cNvPr id="6" name="Retângulo: Cantos Superiores Arredondados 5">
                  <a:extLst>
                    <a:ext uri="{FF2B5EF4-FFF2-40B4-BE49-F238E27FC236}">
                      <a16:creationId xmlns:a16="http://schemas.microsoft.com/office/drawing/2014/main" id="{442D792D-20DD-4371-9789-9CD8BE90DC7F}"/>
                    </a:ext>
                  </a:extLst>
                </xdr:cNvPr>
                <xdr:cNvSpPr/>
              </xdr:nvSpPr>
              <xdr:spPr>
                <a:xfrm>
                  <a:off x="1606867" y="3167538"/>
                  <a:ext cx="5392380" cy="536258"/>
                </a:xfrm>
                <a:prstGeom prst="round2SameRect">
                  <a:avLst>
                    <a:gd name="adj1" fmla="val 50000"/>
                    <a:gd name="adj2" fmla="val 0"/>
                  </a:avLst>
                </a:prstGeom>
                <a:solidFill>
                  <a:schemeClr val="accent2">
                    <a:lumMod val="7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graphicFrame macro="">
            <xdr:nvGraphicFramePr>
              <xdr:cNvPr id="3" name="Gráfico 2">
                <a:extLst>
                  <a:ext uri="{FF2B5EF4-FFF2-40B4-BE49-F238E27FC236}">
                    <a16:creationId xmlns:a16="http://schemas.microsoft.com/office/drawing/2014/main" id="{C75E0827-1EFE-4551-BFCE-82D2BF58C98C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029576" y="4171466"/>
              <a:ext cx="4745832" cy="195692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B4A9274D-0425-4BC6-9485-9AC2849B2814}"/>
                </a:ext>
              </a:extLst>
            </xdr:cNvPr>
            <xdr:cNvSpPr txBox="1"/>
          </xdr:nvSpPr>
          <xdr:spPr>
            <a:xfrm>
              <a:off x="8207692" y="596740"/>
              <a:ext cx="5464493" cy="5638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2000" b="1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Entradas</a:t>
              </a:r>
            </a:p>
          </xdr:txBody>
        </xdr:sp>
      </xdr:grpSp>
      <xdr:pic>
        <xdr:nvPicPr>
          <xdr:cNvPr id="20" name="Gráfico 19" descr="Gráfico de barras com tendência ascendente com preenchimento sólido">
            <a:extLst>
              <a:ext uri="{FF2B5EF4-FFF2-40B4-BE49-F238E27FC236}">
                <a16:creationId xmlns:a16="http://schemas.microsoft.com/office/drawing/2014/main" id="{68E76A34-4BB5-462F-BAFB-4B35E84C16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474869" y="517189"/>
            <a:ext cx="680190" cy="691153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0</xdr:row>
      <xdr:rowOff>103348</xdr:rowOff>
    </xdr:from>
    <xdr:to>
      <xdr:col>0</xdr:col>
      <xdr:colOff>1524000</xdr:colOff>
      <xdr:row>7</xdr:row>
      <xdr:rowOff>124303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5" name="Mês">
              <a:extLst>
                <a:ext uri="{FF2B5EF4-FFF2-40B4-BE49-F238E27FC236}">
                  <a16:creationId xmlns:a16="http://schemas.microsoft.com/office/drawing/2014/main" id="{14B00CC3-C054-4C20-B9DA-44EFDE2E9E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1443"/>
              <a:ext cx="1524000" cy="12630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</xdr:colOff>
      <xdr:row>7</xdr:row>
      <xdr:rowOff>78583</xdr:rowOff>
    </xdr:from>
    <xdr:to>
      <xdr:col>0</xdr:col>
      <xdr:colOff>1524001</xdr:colOff>
      <xdr:row>21</xdr:row>
      <xdr:rowOff>28100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6" name="Categoria">
              <a:extLst>
                <a:ext uri="{FF2B5EF4-FFF2-40B4-BE49-F238E27FC236}">
                  <a16:creationId xmlns:a16="http://schemas.microsoft.com/office/drawing/2014/main" id="{2EA9349F-4445-45CA-ACA4-DD0BFA2CE8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" y="1316833"/>
              <a:ext cx="1524000" cy="24241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155257</xdr:colOff>
      <xdr:row>0</xdr:row>
      <xdr:rowOff>72870</xdr:rowOff>
    </xdr:from>
    <xdr:to>
      <xdr:col>20</xdr:col>
      <xdr:colOff>535780</xdr:colOff>
      <xdr:row>5</xdr:row>
      <xdr:rowOff>87152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40484E7A-B3A7-462F-9769-C0781736DF76}"/>
            </a:ext>
          </a:extLst>
        </xdr:cNvPr>
        <xdr:cNvSpPr/>
      </xdr:nvSpPr>
      <xdr:spPr>
        <a:xfrm>
          <a:off x="1703070" y="72870"/>
          <a:ext cx="11917679" cy="90725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155258</xdr:colOff>
      <xdr:row>0</xdr:row>
      <xdr:rowOff>63817</xdr:rowOff>
    </xdr:from>
    <xdr:to>
      <xdr:col>20</xdr:col>
      <xdr:colOff>327184</xdr:colOff>
      <xdr:row>5</xdr:row>
      <xdr:rowOff>96677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8A0BC31F-F601-4F55-91B2-1BADD8F10E17}"/>
            </a:ext>
          </a:extLst>
        </xdr:cNvPr>
        <xdr:cNvGrpSpPr/>
      </xdr:nvGrpSpPr>
      <xdr:grpSpPr>
        <a:xfrm>
          <a:off x="1706472" y="60007"/>
          <a:ext cx="11802223" cy="917324"/>
          <a:chOff x="1703071" y="65722"/>
          <a:chExt cx="11705272" cy="920114"/>
        </a:xfrm>
      </xdr:grpSpPr>
      <xdr:sp macro="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7560DA46-90F0-4331-BEF3-3733B867DF8B}"/>
              </a:ext>
            </a:extLst>
          </xdr:cNvPr>
          <xdr:cNvSpPr/>
        </xdr:nvSpPr>
        <xdr:spPr>
          <a:xfrm>
            <a:off x="1703071" y="72870"/>
            <a:ext cx="1370646" cy="912966"/>
          </a:xfrm>
          <a:prstGeom prst="roundRect">
            <a:avLst/>
          </a:prstGeom>
          <a:solidFill>
            <a:srgbClr val="96363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EAF49028-885F-46D3-B6AB-E2ED6C7E11CB}"/>
              </a:ext>
            </a:extLst>
          </xdr:cNvPr>
          <xdr:cNvSpPr txBox="1"/>
        </xdr:nvSpPr>
        <xdr:spPr>
          <a:xfrm>
            <a:off x="3237071" y="65722"/>
            <a:ext cx="6345555" cy="9144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3600" b="1">
                <a:solidFill>
                  <a:srgbClr val="963634"/>
                </a:solidFill>
              </a:rPr>
              <a:t>Acompanhamento Financeiro</a:t>
            </a:r>
          </a:p>
        </xdr:txBody>
      </xdr: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0D994380-DC90-4A47-AF6C-703C083C772B}"/>
              </a:ext>
            </a:extLst>
          </xdr:cNvPr>
          <xdr:cNvGrpSpPr/>
        </xdr:nvGrpSpPr>
        <xdr:grpSpPr>
          <a:xfrm>
            <a:off x="9802145" y="257177"/>
            <a:ext cx="3610008" cy="550543"/>
            <a:chOff x="9809765" y="257177"/>
            <a:chExt cx="3602388" cy="550543"/>
          </a:xfrm>
        </xdr:grpSpPr>
        <xdr:sp macro="" textlink="">
          <xdr:nvSpPr>
            <xdr:cNvPr id="31" name="Retângulo: Cantos Arredondados 3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48057365-ADCC-45B0-9F48-E0756F6F0729}"/>
                </a:ext>
              </a:extLst>
            </xdr:cNvPr>
            <xdr:cNvSpPr/>
          </xdr:nvSpPr>
          <xdr:spPr>
            <a:xfrm>
              <a:off x="9809765" y="257177"/>
              <a:ext cx="3602388" cy="53238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>
                  <a:solidFill>
                    <a:schemeClr val="bg1">
                      <a:lumMod val="50000"/>
                    </a:schemeClr>
                  </a:solidFill>
                </a:rPr>
                <a:t>Pesquisar dados...</a:t>
              </a:r>
            </a:p>
          </xdr:txBody>
        </xdr:sp>
        <xdr:pic>
          <xdr:nvPicPr>
            <xdr:cNvPr id="33" name="Gráfico 32" descr="Lupa com preenchimento sólido">
              <a:extLst>
                <a:ext uri="{FF2B5EF4-FFF2-40B4-BE49-F238E27FC236}">
                  <a16:creationId xmlns:a16="http://schemas.microsoft.com/office/drawing/2014/main" id="{5E7A9DD3-B68E-41DB-90E6-8BE8BE07F80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2690157" y="258128"/>
              <a:ext cx="553797" cy="54959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</xdr:col>
      <xdr:colOff>578643</xdr:colOff>
      <xdr:row>0</xdr:row>
      <xdr:rowOff>136684</xdr:rowOff>
    </xdr:from>
    <xdr:to>
      <xdr:col>2</xdr:col>
      <xdr:colOff>541770</xdr:colOff>
      <xdr:row>5</xdr:row>
      <xdr:rowOff>47149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93385FC5-1669-465D-AE86-CC61525920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9851" t="8832" r="19668" b="8969"/>
        <a:stretch/>
      </xdr:blipFill>
      <xdr:spPr>
        <a:xfrm>
          <a:off x="2126456" y="136684"/>
          <a:ext cx="570345" cy="803434"/>
        </a:xfrm>
        <a:prstGeom prst="rect">
          <a:avLst/>
        </a:prstGeom>
      </xdr:spPr>
    </xdr:pic>
    <xdr:clientData/>
  </xdr:twoCellAnchor>
  <xdr:twoCellAnchor>
    <xdr:from>
      <xdr:col>1</xdr:col>
      <xdr:colOff>341471</xdr:colOff>
      <xdr:row>26</xdr:row>
      <xdr:rowOff>170605</xdr:rowOff>
    </xdr:from>
    <xdr:to>
      <xdr:col>10</xdr:col>
      <xdr:colOff>340996</xdr:colOff>
      <xdr:row>47</xdr:row>
      <xdr:rowOff>20314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4679A590-F94B-4403-B146-B38D5C261E81}"/>
            </a:ext>
          </a:extLst>
        </xdr:cNvPr>
        <xdr:cNvGrpSpPr/>
      </xdr:nvGrpSpPr>
      <xdr:grpSpPr>
        <a:xfrm>
          <a:off x="1892685" y="4773629"/>
          <a:ext cx="5510418" cy="3556839"/>
          <a:chOff x="8213407" y="536478"/>
          <a:chExt cx="5464493" cy="3271903"/>
        </a:xfrm>
      </xdr:grpSpPr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6C057BB0-9738-4AFE-AF3A-E58E8974E1D1}"/>
              </a:ext>
            </a:extLst>
          </xdr:cNvPr>
          <xdr:cNvGrpSpPr/>
        </xdr:nvGrpSpPr>
        <xdr:grpSpPr>
          <a:xfrm>
            <a:off x="8213407" y="573994"/>
            <a:ext cx="5464493" cy="3234387"/>
            <a:chOff x="8207692" y="590183"/>
            <a:chExt cx="5464493" cy="3257252"/>
          </a:xfrm>
        </xdr:grpSpPr>
        <xdr:grpSp>
          <xdr:nvGrpSpPr>
            <xdr:cNvPr id="47" name="Agrupar 46">
              <a:extLst>
                <a:ext uri="{FF2B5EF4-FFF2-40B4-BE49-F238E27FC236}">
                  <a16:creationId xmlns:a16="http://schemas.microsoft.com/office/drawing/2014/main" id="{FDDC4C2F-9987-4781-974E-CAB90E1D932A}"/>
                </a:ext>
              </a:extLst>
            </xdr:cNvPr>
            <xdr:cNvGrpSpPr/>
          </xdr:nvGrpSpPr>
          <xdr:grpSpPr>
            <a:xfrm>
              <a:off x="8223150" y="590183"/>
              <a:ext cx="5426671" cy="3257252"/>
              <a:chOff x="1606867" y="3167538"/>
              <a:chExt cx="5392380" cy="2964291"/>
            </a:xfrm>
          </xdr:grpSpPr>
          <xdr:sp macro="" textlink="">
            <xdr:nvSpPr>
              <xdr:cNvPr id="49" name="Retângulo: Cantos Arredondados 48">
                <a:extLst>
                  <a:ext uri="{FF2B5EF4-FFF2-40B4-BE49-F238E27FC236}">
                    <a16:creationId xmlns:a16="http://schemas.microsoft.com/office/drawing/2014/main" id="{183FD595-E5C5-4997-BEE9-3639D0D80C9C}"/>
                  </a:ext>
                </a:extLst>
              </xdr:cNvPr>
              <xdr:cNvSpPr/>
            </xdr:nvSpPr>
            <xdr:spPr>
              <a:xfrm>
                <a:off x="1607821" y="3244209"/>
                <a:ext cx="5386665" cy="2887620"/>
              </a:xfrm>
              <a:prstGeom prst="round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50" name="Retângulo: Cantos Superiores Arredondados 49">
                <a:extLst>
                  <a:ext uri="{FF2B5EF4-FFF2-40B4-BE49-F238E27FC236}">
                    <a16:creationId xmlns:a16="http://schemas.microsoft.com/office/drawing/2014/main" id="{089D77DE-F850-41ED-BF94-B6E9DAD7D246}"/>
                  </a:ext>
                </a:extLst>
              </xdr:cNvPr>
              <xdr:cNvSpPr/>
            </xdr:nvSpPr>
            <xdr:spPr>
              <a:xfrm>
                <a:off x="1606867" y="3167538"/>
                <a:ext cx="5392380" cy="536258"/>
              </a:xfrm>
              <a:prstGeom prst="round2SameRect">
                <a:avLst>
                  <a:gd name="adj1" fmla="val 50000"/>
                  <a:gd name="adj2" fmla="val 0"/>
                </a:avLst>
              </a:prstGeom>
              <a:solidFill>
                <a:schemeClr val="accent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sp macro="" textlink="">
          <xdr:nvSpPr>
            <xdr:cNvPr id="46" name="CaixaDeTexto 45">
              <a:extLst>
                <a:ext uri="{FF2B5EF4-FFF2-40B4-BE49-F238E27FC236}">
                  <a16:creationId xmlns:a16="http://schemas.microsoft.com/office/drawing/2014/main" id="{E3BEAA58-F005-4796-A140-07A4DA0BF49A}"/>
                </a:ext>
              </a:extLst>
            </xdr:cNvPr>
            <xdr:cNvSpPr txBox="1"/>
          </xdr:nvSpPr>
          <xdr:spPr>
            <a:xfrm>
              <a:off x="8207692" y="596740"/>
              <a:ext cx="5464493" cy="5638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2000" b="1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Economias</a:t>
              </a:r>
            </a:p>
          </xdr:txBody>
        </xdr:sp>
      </xdr:grpSp>
      <xdr:pic>
        <xdr:nvPicPr>
          <xdr:cNvPr id="44" name="Gráfico 43" descr="Cofrinho com preenchimento sólido">
            <a:extLst>
              <a:ext uri="{FF2B5EF4-FFF2-40B4-BE49-F238E27FC236}">
                <a16:creationId xmlns:a16="http://schemas.microsoft.com/office/drawing/2014/main" id="{BD2DE354-B719-489C-8375-B8D1B2C17D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rcRect/>
          <a:stretch/>
        </xdr:blipFill>
        <xdr:spPr>
          <a:xfrm>
            <a:off x="8465638" y="536478"/>
            <a:ext cx="650104" cy="60241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396718</xdr:colOff>
      <xdr:row>30</xdr:row>
      <xdr:rowOff>168677</xdr:rowOff>
    </xdr:from>
    <xdr:to>
      <xdr:col>10</xdr:col>
      <xdr:colOff>311468</xdr:colOff>
      <xdr:row>46</xdr:row>
      <xdr:rowOff>154780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5CBA00D8-8A16-4A41-97A0-DA4C591A83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107769</xdr:colOff>
          <xdr:row>21</xdr:row>
          <xdr:rowOff>62051</xdr:rowOff>
        </xdr:from>
        <xdr:to>
          <xdr:col>0</xdr:col>
          <xdr:colOff>1391739</xdr:colOff>
          <xdr:row>25</xdr:row>
          <xdr:rowOff>84911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 para planilha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93345</xdr:colOff>
          <xdr:row>25</xdr:row>
          <xdr:rowOff>136889</xdr:rowOff>
        </xdr:from>
        <xdr:to>
          <xdr:col>0</xdr:col>
          <xdr:colOff>1390650</xdr:colOff>
          <xdr:row>30</xdr:row>
          <xdr:rowOff>1905</xdr:rowOff>
        </xdr:to>
        <xdr:sp macro="" textlink="">
          <xdr:nvSpPr>
            <xdr:cNvPr id="4101" name="Button 5" descr="Ir para planilha Dados&#10;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C8EE99A4-4939-4E13-A6D8-6CE1AF9D3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Meta de</a:t>
              </a:r>
            </a:p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Reserva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orival Rigonato Junior" refreshedDate="45633.77598298611" createdVersion="7" refreshedVersion="7" minRefreshableVersion="3" recordCount="36" xr:uid="{61FDB44B-5ADE-4F72-941F-1F3ED03F40CE}">
  <cacheSource type="worksheet">
    <worksheetSource name="tbl_operations"/>
  </cacheSource>
  <cacheFields count="8">
    <cacheField name="Data" numFmtId="14">
      <sharedItems containsSemiMixedTypes="0" containsNonDate="0" containsDate="1" containsString="0" minDate="2024-08-01T00:00:00" maxDate="2024-10-02T00:00:00"/>
    </cacheField>
    <cacheField name="Mês" numFmtId="0">
      <sharedItems containsSemiMixedTypes="0" containsString="0" containsNumber="1" containsInteger="1" minValue="8" maxValue="10" count="3">
        <n v="8"/>
        <n v="9"/>
        <n v="10"/>
      </sharedItems>
    </cacheField>
    <cacheField name="Tipo" numFmtId="0">
      <sharedItems count="2">
        <s v="Entrada"/>
        <s v="Saída"/>
      </sharedItems>
    </cacheField>
    <cacheField name="Categoria" numFmtId="0">
      <sharedItems count="13">
        <s v="Renda Fixa"/>
        <s v="Alimentação"/>
        <s v="transporte"/>
        <s v="lazer"/>
        <s v="Saúde"/>
        <s v="educação"/>
        <s v="vestuário"/>
        <s v="investimento"/>
        <s v="serviços"/>
        <s v="eletrônicos"/>
        <s v="domésticos"/>
        <s v="presentes"/>
        <s v="investimentos" u="1"/>
      </sharedItems>
    </cacheField>
    <cacheField name="Descrição" numFmtId="0">
      <sharedItems/>
    </cacheField>
    <cacheField name="Valor" numFmtId="44">
      <sharedItems containsSemiMixedTypes="0" containsString="0" containsNumber="1" minValue="110" maxValue="16441.46"/>
    </cacheField>
    <cacheField name="Operação Bancária" numFmtId="0">
      <sharedItems/>
    </cacheField>
    <cacheField name="Status" numFmtId="0">
      <sharedItems/>
    </cacheField>
  </cacheFields>
  <extLst>
    <ext xmlns:x14="http://schemas.microsoft.com/office/spreadsheetml/2009/9/main" uri="{725AE2AE-9491-48be-B2B4-4EB974FC3084}">
      <x14:pivotCacheDefinition pivotCacheId="101254606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d v="2024-08-01T00:00:00"/>
    <x v="0"/>
    <x v="0"/>
    <x v="0"/>
    <s v="Salário mensal"/>
    <n v="12085"/>
    <s v="Transferência"/>
    <s v="Recebido"/>
  </r>
  <r>
    <d v="2024-08-01T00:00:00"/>
    <x v="0"/>
    <x v="1"/>
    <x v="1"/>
    <s v="supermercado"/>
    <n v="550"/>
    <s v="Débito Automático"/>
    <s v="Pendente"/>
  </r>
  <r>
    <d v="2024-08-03T00:00:00"/>
    <x v="0"/>
    <x v="1"/>
    <x v="2"/>
    <s v="gasolina"/>
    <n v="300"/>
    <s v="Cartão de Crédito"/>
    <s v="Pago"/>
  </r>
  <r>
    <d v="2024-08-05T00:00:00"/>
    <x v="0"/>
    <x v="1"/>
    <x v="3"/>
    <s v="cinema"/>
    <n v="120"/>
    <s v="Cartão de Crédito"/>
    <s v="Pago"/>
  </r>
  <r>
    <d v="2024-08-07T00:00:00"/>
    <x v="0"/>
    <x v="1"/>
    <x v="4"/>
    <s v="odontológica"/>
    <n v="250"/>
    <s v="Transferência"/>
    <s v="Pago"/>
  </r>
  <r>
    <d v="2024-08-10T00:00:00"/>
    <x v="0"/>
    <x v="1"/>
    <x v="5"/>
    <s v="material escolar"/>
    <n v="400"/>
    <s v="Débito Automático"/>
    <s v="Pendente"/>
  </r>
  <r>
    <d v="2024-08-12T00:00:00"/>
    <x v="0"/>
    <x v="1"/>
    <x v="6"/>
    <s v="de inverno"/>
    <n v="600"/>
    <s v="Cartão de Crédito"/>
    <s v="Pendente"/>
  </r>
  <r>
    <d v="2024-08-15T00:00:00"/>
    <x v="0"/>
    <x v="0"/>
    <x v="7"/>
    <s v="ações"/>
    <n v="800"/>
    <s v="Transferência"/>
    <s v="Recebido"/>
  </r>
  <r>
    <d v="2024-08-15T00:00:00"/>
    <x v="0"/>
    <x v="1"/>
    <x v="8"/>
    <s v="apartamento"/>
    <n v="150"/>
    <s v="Transferência"/>
    <s v="Pago"/>
  </r>
  <r>
    <d v="2024-08-18T00:00:00"/>
    <x v="0"/>
    <x v="1"/>
    <x v="9"/>
    <s v="celular"/>
    <n v="1200"/>
    <s v="Cartão de Crédito"/>
    <s v="Pendente"/>
  </r>
  <r>
    <d v="2024-08-20T00:00:00"/>
    <x v="0"/>
    <x v="1"/>
    <x v="10"/>
    <s v="domésticos"/>
    <n v="450"/>
    <s v="Débito Automático"/>
    <s v="Pago"/>
  </r>
  <r>
    <d v="2024-08-22T00:00:00"/>
    <x v="0"/>
    <x v="1"/>
    <x v="11"/>
    <s v="aniversário"/>
    <n v="180"/>
    <s v="Transferência"/>
    <s v="Pendente"/>
  </r>
  <r>
    <d v="2024-09-01T00:00:00"/>
    <x v="1"/>
    <x v="0"/>
    <x v="0"/>
    <s v="Salário mensal"/>
    <n v="12085"/>
    <s v="Transferência"/>
    <s v="Recebido"/>
  </r>
  <r>
    <d v="2024-09-02T00:00:00"/>
    <x v="1"/>
    <x v="1"/>
    <x v="3"/>
    <s v="Parque de diversões"/>
    <n v="350"/>
    <s v="Cartão de Crédito"/>
    <s v="Pago"/>
  </r>
  <r>
    <d v="2024-09-03T00:00:00"/>
    <x v="1"/>
    <x v="0"/>
    <x v="5"/>
    <s v="Curso online"/>
    <n v="10756.77"/>
    <s v="Transferência"/>
    <s v="Recebido"/>
  </r>
  <r>
    <d v="2024-09-05T00:00:00"/>
    <x v="1"/>
    <x v="1"/>
    <x v="4"/>
    <s v="Consulta médica"/>
    <n v="891.25"/>
    <s v="Débito Automático"/>
    <s v="Pago"/>
  </r>
  <r>
    <d v="2024-09-06T00:00:00"/>
    <x v="1"/>
    <x v="1"/>
    <x v="4"/>
    <s v="Consulta médica"/>
    <n v="576.83000000000004"/>
    <s v="Transferência"/>
    <s v="Pago"/>
  </r>
  <r>
    <d v="2024-09-08T00:00:00"/>
    <x v="1"/>
    <x v="1"/>
    <x v="5"/>
    <s v="Curso online"/>
    <n v="1343.27"/>
    <s v="Transferência"/>
    <s v="Pago"/>
  </r>
  <r>
    <d v="2024-09-10T00:00:00"/>
    <x v="1"/>
    <x v="1"/>
    <x v="1"/>
    <s v="Lanchonete"/>
    <n v="110"/>
    <s v="Transferência"/>
    <s v="Pago"/>
  </r>
  <r>
    <d v="2024-09-11T00:00:00"/>
    <x v="1"/>
    <x v="1"/>
    <x v="1"/>
    <s v="Restaurante"/>
    <n v="490"/>
    <s v="Transferência"/>
    <s v="Pendente"/>
  </r>
  <r>
    <d v="2024-09-12T00:00:00"/>
    <x v="1"/>
    <x v="1"/>
    <x v="5"/>
    <s v="Mensalidade"/>
    <n v="954.08"/>
    <s v="Transferência"/>
    <s v="Pago"/>
  </r>
  <r>
    <d v="2024-09-13T00:00:00"/>
    <x v="1"/>
    <x v="1"/>
    <x v="4"/>
    <s v="Consulta médica"/>
    <n v="366.82"/>
    <s v="Cartão de Crédito"/>
    <s v="Pendente"/>
  </r>
  <r>
    <d v="2024-09-14T00:00:00"/>
    <x v="1"/>
    <x v="0"/>
    <x v="7"/>
    <s v="Criptomoedas"/>
    <n v="7808.31"/>
    <s v="Débito Automático"/>
    <s v="Recebido"/>
  </r>
  <r>
    <d v="2024-09-15T00:00:00"/>
    <x v="1"/>
    <x v="1"/>
    <x v="1"/>
    <s v="supermercado"/>
    <n v="1200"/>
    <s v="Cartão de Crédito"/>
    <s v="Pendente"/>
  </r>
  <r>
    <d v="2024-09-16T00:00:00"/>
    <x v="1"/>
    <x v="1"/>
    <x v="4"/>
    <s v="odontológica"/>
    <n v="2115.1999999999998"/>
    <s v="Transferência"/>
    <s v="Pago"/>
  </r>
  <r>
    <d v="2024-09-19T00:00:00"/>
    <x v="1"/>
    <x v="1"/>
    <x v="1"/>
    <s v="supermercado"/>
    <n v="600"/>
    <s v="Débito Automático"/>
    <s v="Pago"/>
  </r>
  <r>
    <d v="2024-09-20T00:00:00"/>
    <x v="1"/>
    <x v="1"/>
    <x v="3"/>
    <s v="Show"/>
    <n v="1130.3800000000001"/>
    <s v="Débito Automático"/>
    <s v="Pago"/>
  </r>
  <r>
    <d v="2024-09-21T00:00:00"/>
    <x v="1"/>
    <x v="0"/>
    <x v="7"/>
    <s v="Fundo de investimento"/>
    <n v="11401.27"/>
    <s v="Débito Automático"/>
    <s v="Recebido"/>
  </r>
  <r>
    <d v="2024-09-22T00:00:00"/>
    <x v="1"/>
    <x v="0"/>
    <x v="0"/>
    <s v="Rendimento de investimentos"/>
    <n v="16441.46"/>
    <s v="Transferência"/>
    <s v="Recebido"/>
  </r>
  <r>
    <d v="2024-09-23T00:00:00"/>
    <x v="1"/>
    <x v="0"/>
    <x v="7"/>
    <s v="ações"/>
    <n v="14739.09"/>
    <s v="Transferência"/>
    <s v="Recebido"/>
  </r>
  <r>
    <d v="2024-09-24T00:00:00"/>
    <x v="1"/>
    <x v="1"/>
    <x v="5"/>
    <s v="material escolar"/>
    <n v="2001.2"/>
    <s v="Transferência"/>
    <s v="Pendente"/>
  </r>
  <r>
    <d v="2024-09-25T00:00:00"/>
    <x v="1"/>
    <x v="1"/>
    <x v="1"/>
    <s v="Restaurante"/>
    <n v="450"/>
    <s v="Cartão de Crédito"/>
    <s v="Pago"/>
  </r>
  <r>
    <d v="2024-09-28T00:00:00"/>
    <x v="1"/>
    <x v="1"/>
    <x v="1"/>
    <s v="supermercado"/>
    <n v="735.18"/>
    <s v="Cartão de Crédito"/>
    <s v="Pendente"/>
  </r>
  <r>
    <d v="2024-09-29T00:00:00"/>
    <x v="1"/>
    <x v="1"/>
    <x v="4"/>
    <s v="Farmácia"/>
    <n v="735.17"/>
    <s v="Transferência"/>
    <s v="Pago"/>
  </r>
  <r>
    <d v="2024-10-01T00:00:00"/>
    <x v="2"/>
    <x v="0"/>
    <x v="0"/>
    <s v="Salário mensal"/>
    <n v="12085"/>
    <s v="Transferência"/>
    <s v="Recebido"/>
  </r>
  <r>
    <d v="2024-10-01T00:00:00"/>
    <x v="2"/>
    <x v="1"/>
    <x v="2"/>
    <s v="gasolina"/>
    <n v="250"/>
    <s v="Débito Automático"/>
    <s v="Pendent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233EB-F298-46A3-8FF8-7847764657FE}" name="Tabela dinâmica2" cacheId="3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0">
  <location ref="E4:F8" firstHeaderRow="1" firstDataRow="1" firstDataCol="1" rowPageCount="1" colPageCount="1"/>
  <pivotFields count="8">
    <pivotField numFmtId="14" showAll="0"/>
    <pivotField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14">
        <item x="1"/>
        <item x="10"/>
        <item x="5"/>
        <item x="9"/>
        <item x="7"/>
        <item m="1" x="12"/>
        <item x="3"/>
        <item x="11"/>
        <item x="0"/>
        <item x="4"/>
        <item x="8"/>
        <item x="2"/>
        <item x="6"/>
        <item t="default"/>
      </items>
    </pivotField>
    <pivotField showAll="0"/>
    <pivotField dataField="1" numFmtId="44" showAll="0"/>
    <pivotField showAll="0"/>
    <pivotField showAll="0"/>
  </pivotFields>
  <rowFields count="1">
    <field x="3"/>
  </rowFields>
  <rowItems count="4">
    <i>
      <x v="2"/>
    </i>
    <i>
      <x v="4"/>
    </i>
    <i>
      <x v="8"/>
    </i>
    <i t="grand">
      <x/>
    </i>
  </rowItems>
  <colItems count="1">
    <i/>
  </colItems>
  <pageFields count="1">
    <pageField fld="2" item="0" hier="-1"/>
  </pageFields>
  <dataFields count="1">
    <dataField name="Soma de Valor" fld="5" baseField="2" baseItem="0" numFmtId="164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5D282D-7DEE-4F10-87FF-9D99B2F32E07}" name="Tabela dinâmica1" cacheId="3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7">
  <location ref="B4:C15" firstHeaderRow="1" firstDataRow="1" firstDataCol="1" rowPageCount="1" colPageCount="1"/>
  <pivotFields count="8">
    <pivotField numFmtId="14" showAll="0"/>
    <pivotField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14">
        <item x="1"/>
        <item x="10"/>
        <item x="5"/>
        <item x="9"/>
        <item x="7"/>
        <item m="1" x="12"/>
        <item x="3"/>
        <item x="11"/>
        <item x="0"/>
        <item x="4"/>
        <item x="8"/>
        <item x="2"/>
        <item x="6"/>
        <item t="default"/>
      </items>
    </pivotField>
    <pivotField showAll="0"/>
    <pivotField dataField="1" numFmtId="44"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6"/>
    </i>
    <i>
      <x v="7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2" item="1" hier="-1"/>
  </pageFields>
  <dataFields count="1">
    <dataField name="Soma de Valor" fld="5" baseField="2" baseItem="0" numFmtId="164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99B7DA6B-CB77-4462-9D7D-20504E669724}" sourceName="Mês">
  <pivotTables>
    <pivotTable tabId="3" name="Tabela dinâmica1"/>
    <pivotTable tabId="3" name="Tabela dinâmica2"/>
  </pivotTables>
  <data>
    <tabular pivotCacheId="1012546066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676B3BA3-3F88-459B-A852-13AD7A167366}" sourceName="Categoria">
  <pivotTables>
    <pivotTable tabId="3" name="Tabela dinâmica1"/>
  </pivotTables>
  <data>
    <tabular pivotCacheId="1012546066">
      <items count="13">
        <i x="1" s="1"/>
        <i x="10" s="1"/>
        <i x="5" s="1"/>
        <i x="9" s="1"/>
        <i x="3" s="1"/>
        <i x="11" s="1"/>
        <i x="4" s="1"/>
        <i x="8" s="1"/>
        <i x="2" s="1"/>
        <i x="6" s="1"/>
        <i x="7" s="1" nd="1"/>
        <i x="12" s="1" nd="1"/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E2D26F2F-8D11-4B86-947B-958DFC3C115A}" cache="SegmentaçãodeDados_Mês" caption="Mês" style="SlicerStyleDark6 2" rowHeight="234950"/>
  <slicer name="Categoria" xr10:uid="{21E0A7A4-D754-40CF-A587-92B3144C8038}" cache="SegmentaçãodeDados_Categoria" caption="Categoria" style="SlicerStyleDark6 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35F718-87FA-44B6-AACC-5A493E9B5718}" name="tbl_operations" displayName="tbl_operations" ref="A1:H37" totalsRowShown="0" headerRowDxfId="7" dataDxfId="8" headerRowBorderDxfId="15">
  <autoFilter ref="A1:H37" xr:uid="{78A4472B-642E-4A31-8C6C-68DBA4F9786B}"/>
  <tableColumns count="8">
    <tableColumn id="1" xr3:uid="{4366C70F-4FF3-4DC0-8D47-FD8D2C188AA6}" name="Data" dataDxfId="14"/>
    <tableColumn id="9" xr3:uid="{3ECEAFA3-0E95-4BC0-BE08-23B8162A2A12}" name="Mês" dataDxfId="5">
      <calculatedColumnFormula>MONTH(tbl_operations[[#This Row],[Data]])</calculatedColumnFormula>
    </tableColumn>
    <tableColumn id="2" xr3:uid="{1833BF6C-9788-4C94-BEB9-EA9968CD2727}" name="Tipo" dataDxfId="13"/>
    <tableColumn id="3" xr3:uid="{0A1625CE-EEE1-49E2-995C-F4E257681904}" name="Categoria" dataDxfId="12"/>
    <tableColumn id="4" xr3:uid="{6EC48490-B6E4-4B35-BCE2-3C1D6254BFD2}" name="Descrição" dataDxfId="11"/>
    <tableColumn id="5" xr3:uid="{D998D8C6-00A6-469A-839F-55FFB77A5AF6}" name="Valor" dataDxfId="10" dataCellStyle="Moeda"/>
    <tableColumn id="6" xr3:uid="{7FF493F1-6FEA-44DA-9E3D-5CFD9751C742}" name="Operação Bancária" dataDxfId="9"/>
    <tableColumn id="7" xr3:uid="{343E7778-DC2D-4CE6-A580-A65702F8E1AB}" name="Status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9AFE074-1048-4823-99C7-80AB689A7A66}" name="Tabela8" displayName="Tabela8" ref="C6:D22" totalsRowShown="0" dataDxfId="2">
  <autoFilter ref="C6:D22" xr:uid="{E9AFE074-1048-4823-99C7-80AB689A7A66}"/>
  <tableColumns count="2">
    <tableColumn id="1" xr3:uid="{C79CED1A-3188-48EA-88BB-81BC3DAF8174}" name="Data de lançamento" dataDxfId="0"/>
    <tableColumn id="2" xr3:uid="{F196E48F-54EE-459D-BEEE-4A532051BFA8}" name="Depósito reservado" dataDxfId="1" dataCellStyle="Moeda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microsoft.com/office/2007/relationships/slicer" Target="../slicers/slicer1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4472B-642E-4A31-8C6C-68DBA4F9786B}">
  <sheetPr codeName="Planilha2"/>
  <dimension ref="A1:H37"/>
  <sheetViews>
    <sheetView workbookViewId="0">
      <selection activeCell="J15" sqref="J15"/>
    </sheetView>
  </sheetViews>
  <sheetFormatPr defaultRowHeight="15" x14ac:dyDescent="0.25"/>
  <cols>
    <col min="1" max="1" width="17.109375" style="5" customWidth="1"/>
    <col min="2" max="2" width="12.109375" style="17" customWidth="1"/>
    <col min="3" max="3" width="15.109375" style="4" customWidth="1"/>
    <col min="4" max="4" width="23.6640625" style="4" customWidth="1"/>
    <col min="5" max="5" width="30" style="4" bestFit="1" customWidth="1"/>
    <col min="6" max="6" width="16" style="6" bestFit="1" customWidth="1"/>
    <col min="7" max="7" width="23" style="4" customWidth="1"/>
    <col min="8" max="8" width="10.21875" style="8" bestFit="1" customWidth="1"/>
    <col min="9" max="16384" width="8.88671875" style="4"/>
  </cols>
  <sheetData>
    <row r="1" spans="1:8" ht="15.6" x14ac:dyDescent="0.25">
      <c r="A1" s="1" t="s">
        <v>0</v>
      </c>
      <c r="B1" s="16" t="s">
        <v>62</v>
      </c>
      <c r="C1" s="2" t="s">
        <v>1</v>
      </c>
      <c r="D1" s="2" t="s">
        <v>2</v>
      </c>
      <c r="E1" s="2" t="s">
        <v>3</v>
      </c>
      <c r="F1" s="3" t="s">
        <v>4</v>
      </c>
      <c r="G1" s="2" t="s">
        <v>5</v>
      </c>
      <c r="H1" s="2" t="s">
        <v>6</v>
      </c>
    </row>
    <row r="2" spans="1:8" x14ac:dyDescent="0.25">
      <c r="A2" s="5">
        <v>45505</v>
      </c>
      <c r="B2" s="17">
        <f>MONTH(tbl_operations[[#This Row],[Data]])</f>
        <v>8</v>
      </c>
      <c r="C2" s="4" t="s">
        <v>7</v>
      </c>
      <c r="D2" s="4" t="s">
        <v>9</v>
      </c>
      <c r="E2" s="4" t="s">
        <v>24</v>
      </c>
      <c r="F2" s="6">
        <v>12085</v>
      </c>
      <c r="G2" s="4" t="s">
        <v>50</v>
      </c>
      <c r="H2" s="8" t="s">
        <v>53</v>
      </c>
    </row>
    <row r="3" spans="1:8" x14ac:dyDescent="0.25">
      <c r="A3" s="5">
        <v>45505</v>
      </c>
      <c r="B3" s="17">
        <f>MONTH(tbl_operations[[#This Row],[Data]])</f>
        <v>8</v>
      </c>
      <c r="C3" s="4" t="s">
        <v>8</v>
      </c>
      <c r="D3" s="4" t="s">
        <v>10</v>
      </c>
      <c r="E3" s="4" t="s">
        <v>25</v>
      </c>
      <c r="F3" s="6">
        <v>550</v>
      </c>
      <c r="G3" s="4" t="s">
        <v>51</v>
      </c>
      <c r="H3" s="8" t="s">
        <v>54</v>
      </c>
    </row>
    <row r="4" spans="1:8" x14ac:dyDescent="0.25">
      <c r="A4" s="5">
        <v>45507</v>
      </c>
      <c r="B4" s="17">
        <f>MONTH(tbl_operations[[#This Row],[Data]])</f>
        <v>8</v>
      </c>
      <c r="C4" s="4" t="s">
        <v>8</v>
      </c>
      <c r="D4" s="4" t="s">
        <v>11</v>
      </c>
      <c r="E4" s="4" t="s">
        <v>26</v>
      </c>
      <c r="F4" s="6">
        <v>300</v>
      </c>
      <c r="G4" s="4" t="s">
        <v>52</v>
      </c>
      <c r="H4" s="8" t="s">
        <v>55</v>
      </c>
    </row>
    <row r="5" spans="1:8" x14ac:dyDescent="0.25">
      <c r="A5" s="5">
        <v>45509</v>
      </c>
      <c r="B5" s="17">
        <f>MONTH(tbl_operations[[#This Row],[Data]])</f>
        <v>8</v>
      </c>
      <c r="C5" s="4" t="s">
        <v>8</v>
      </c>
      <c r="D5" s="4" t="s">
        <v>12</v>
      </c>
      <c r="E5" s="4" t="s">
        <v>27</v>
      </c>
      <c r="F5" s="6">
        <v>120</v>
      </c>
      <c r="G5" s="4" t="s">
        <v>52</v>
      </c>
      <c r="H5" s="8" t="s">
        <v>55</v>
      </c>
    </row>
    <row r="6" spans="1:8" x14ac:dyDescent="0.25">
      <c r="A6" s="5">
        <v>45511</v>
      </c>
      <c r="B6" s="17">
        <f>MONTH(tbl_operations[[#This Row],[Data]])</f>
        <v>8</v>
      </c>
      <c r="C6" s="4" t="s">
        <v>8</v>
      </c>
      <c r="D6" s="7" t="s">
        <v>22</v>
      </c>
      <c r="E6" s="4" t="s">
        <v>28</v>
      </c>
      <c r="F6" s="6">
        <v>250</v>
      </c>
      <c r="G6" s="4" t="s">
        <v>50</v>
      </c>
      <c r="H6" s="8" t="s">
        <v>55</v>
      </c>
    </row>
    <row r="7" spans="1:8" x14ac:dyDescent="0.25">
      <c r="A7" s="5">
        <v>45514</v>
      </c>
      <c r="B7" s="17">
        <f>MONTH(tbl_operations[[#This Row],[Data]])</f>
        <v>8</v>
      </c>
      <c r="C7" s="4" t="s">
        <v>8</v>
      </c>
      <c r="D7" s="4" t="s">
        <v>13</v>
      </c>
      <c r="E7" s="4" t="s">
        <v>29</v>
      </c>
      <c r="F7" s="6">
        <v>400</v>
      </c>
      <c r="G7" s="4" t="s">
        <v>51</v>
      </c>
      <c r="H7" s="8" t="s">
        <v>54</v>
      </c>
    </row>
    <row r="8" spans="1:8" x14ac:dyDescent="0.25">
      <c r="A8" s="5">
        <v>45516</v>
      </c>
      <c r="B8" s="17">
        <f>MONTH(tbl_operations[[#This Row],[Data]])</f>
        <v>8</v>
      </c>
      <c r="C8" s="4" t="s">
        <v>8</v>
      </c>
      <c r="D8" s="4" t="s">
        <v>14</v>
      </c>
      <c r="E8" s="4" t="s">
        <v>30</v>
      </c>
      <c r="F8" s="6">
        <v>600</v>
      </c>
      <c r="G8" s="4" t="s">
        <v>52</v>
      </c>
      <c r="H8" s="8" t="s">
        <v>54</v>
      </c>
    </row>
    <row r="9" spans="1:8" x14ac:dyDescent="0.25">
      <c r="A9" s="5">
        <v>45519</v>
      </c>
      <c r="B9" s="17">
        <f>MONTH(tbl_operations[[#This Row],[Data]])</f>
        <v>8</v>
      </c>
      <c r="C9" s="4" t="s">
        <v>7</v>
      </c>
      <c r="D9" s="7" t="s">
        <v>60</v>
      </c>
      <c r="E9" s="4" t="s">
        <v>31</v>
      </c>
      <c r="F9" s="6">
        <v>800</v>
      </c>
      <c r="G9" s="4" t="s">
        <v>50</v>
      </c>
      <c r="H9" s="8" t="s">
        <v>53</v>
      </c>
    </row>
    <row r="10" spans="1:8" x14ac:dyDescent="0.25">
      <c r="A10" s="5">
        <v>45519</v>
      </c>
      <c r="B10" s="17">
        <f>MONTH(tbl_operations[[#This Row],[Data]])</f>
        <v>8</v>
      </c>
      <c r="C10" s="4" t="s">
        <v>8</v>
      </c>
      <c r="D10" s="4" t="s">
        <v>15</v>
      </c>
      <c r="E10" s="4" t="s">
        <v>32</v>
      </c>
      <c r="F10" s="6">
        <v>150</v>
      </c>
      <c r="G10" s="4" t="s">
        <v>50</v>
      </c>
      <c r="H10" s="8" t="s">
        <v>55</v>
      </c>
    </row>
    <row r="11" spans="1:8" x14ac:dyDescent="0.25">
      <c r="A11" s="5">
        <v>45522</v>
      </c>
      <c r="B11" s="17">
        <f>MONTH(tbl_operations[[#This Row],[Data]])</f>
        <v>8</v>
      </c>
      <c r="C11" s="4" t="s">
        <v>8</v>
      </c>
      <c r="D11" s="4" t="s">
        <v>16</v>
      </c>
      <c r="E11" s="4" t="s">
        <v>33</v>
      </c>
      <c r="F11" s="6">
        <v>1200</v>
      </c>
      <c r="G11" s="4" t="s">
        <v>52</v>
      </c>
      <c r="H11" s="8" t="s">
        <v>54</v>
      </c>
    </row>
    <row r="12" spans="1:8" x14ac:dyDescent="0.25">
      <c r="A12" s="5">
        <v>45524</v>
      </c>
      <c r="B12" s="17">
        <f>MONTH(tbl_operations[[#This Row],[Data]])</f>
        <v>8</v>
      </c>
      <c r="C12" s="4" t="s">
        <v>8</v>
      </c>
      <c r="D12" s="4" t="s">
        <v>17</v>
      </c>
      <c r="E12" s="4" t="s">
        <v>17</v>
      </c>
      <c r="F12" s="6">
        <v>450</v>
      </c>
      <c r="G12" s="4" t="s">
        <v>51</v>
      </c>
      <c r="H12" s="8" t="s">
        <v>55</v>
      </c>
    </row>
    <row r="13" spans="1:8" x14ac:dyDescent="0.25">
      <c r="A13" s="5">
        <v>45526</v>
      </c>
      <c r="B13" s="17">
        <f>MONTH(tbl_operations[[#This Row],[Data]])</f>
        <v>8</v>
      </c>
      <c r="C13" s="4" t="s">
        <v>8</v>
      </c>
      <c r="D13" s="4" t="s">
        <v>18</v>
      </c>
      <c r="E13" s="4" t="s">
        <v>34</v>
      </c>
      <c r="F13" s="6">
        <v>180</v>
      </c>
      <c r="G13" s="4" t="s">
        <v>50</v>
      </c>
      <c r="H13" s="8" t="s">
        <v>54</v>
      </c>
    </row>
    <row r="14" spans="1:8" x14ac:dyDescent="0.25">
      <c r="A14" s="5">
        <v>45536</v>
      </c>
      <c r="B14" s="17">
        <f>MONTH(tbl_operations[[#This Row],[Data]])</f>
        <v>9</v>
      </c>
      <c r="C14" s="4" t="s">
        <v>7</v>
      </c>
      <c r="D14" s="4" t="s">
        <v>9</v>
      </c>
      <c r="E14" s="4" t="s">
        <v>24</v>
      </c>
      <c r="F14" s="6">
        <v>12085</v>
      </c>
      <c r="G14" s="4" t="s">
        <v>50</v>
      </c>
      <c r="H14" s="8" t="s">
        <v>53</v>
      </c>
    </row>
    <row r="15" spans="1:8" x14ac:dyDescent="0.25">
      <c r="A15" s="5">
        <v>45537</v>
      </c>
      <c r="B15" s="17">
        <f>MONTH(tbl_operations[[#This Row],[Data]])</f>
        <v>9</v>
      </c>
      <c r="C15" s="4" t="s">
        <v>8</v>
      </c>
      <c r="D15" s="4" t="s">
        <v>20</v>
      </c>
      <c r="E15" s="4" t="s">
        <v>35</v>
      </c>
      <c r="F15" s="6">
        <v>350</v>
      </c>
      <c r="G15" s="4" t="s">
        <v>52</v>
      </c>
      <c r="H15" s="8" t="s">
        <v>55</v>
      </c>
    </row>
    <row r="16" spans="1:8" x14ac:dyDescent="0.25">
      <c r="A16" s="5">
        <v>45538</v>
      </c>
      <c r="B16" s="17">
        <f>MONTH(tbl_operations[[#This Row],[Data]])</f>
        <v>9</v>
      </c>
      <c r="C16" s="4" t="s">
        <v>7</v>
      </c>
      <c r="D16" s="4" t="s">
        <v>21</v>
      </c>
      <c r="E16" s="4" t="s">
        <v>36</v>
      </c>
      <c r="F16" s="6">
        <v>10756.77</v>
      </c>
      <c r="G16" s="4" t="s">
        <v>50</v>
      </c>
      <c r="H16" s="8" t="s">
        <v>53</v>
      </c>
    </row>
    <row r="17" spans="1:8" x14ac:dyDescent="0.25">
      <c r="A17" s="5">
        <v>45540</v>
      </c>
      <c r="B17" s="17">
        <f>MONTH(tbl_operations[[#This Row],[Data]])</f>
        <v>9</v>
      </c>
      <c r="C17" s="7" t="s">
        <v>8</v>
      </c>
      <c r="D17" s="4" t="s">
        <v>22</v>
      </c>
      <c r="E17" s="4" t="s">
        <v>37</v>
      </c>
      <c r="F17" s="6">
        <v>891.25</v>
      </c>
      <c r="G17" s="4" t="s">
        <v>51</v>
      </c>
      <c r="H17" s="8" t="s">
        <v>55</v>
      </c>
    </row>
    <row r="18" spans="1:8" x14ac:dyDescent="0.25">
      <c r="A18" s="5">
        <v>45541</v>
      </c>
      <c r="B18" s="17">
        <f>MONTH(tbl_operations[[#This Row],[Data]])</f>
        <v>9</v>
      </c>
      <c r="C18" s="4" t="s">
        <v>8</v>
      </c>
      <c r="D18" s="4" t="s">
        <v>22</v>
      </c>
      <c r="E18" s="4" t="s">
        <v>37</v>
      </c>
      <c r="F18" s="6">
        <v>576.83000000000004</v>
      </c>
      <c r="G18" s="4" t="s">
        <v>50</v>
      </c>
      <c r="H18" s="8" t="s">
        <v>55</v>
      </c>
    </row>
    <row r="19" spans="1:8" x14ac:dyDescent="0.25">
      <c r="A19" s="5">
        <v>45543</v>
      </c>
      <c r="B19" s="17">
        <f>MONTH(tbl_operations[[#This Row],[Data]])</f>
        <v>9</v>
      </c>
      <c r="C19" s="4" t="s">
        <v>8</v>
      </c>
      <c r="D19" s="4" t="s">
        <v>21</v>
      </c>
      <c r="E19" s="4" t="s">
        <v>36</v>
      </c>
      <c r="F19" s="6">
        <v>1343.27</v>
      </c>
      <c r="G19" s="4" t="s">
        <v>50</v>
      </c>
      <c r="H19" s="8" t="s">
        <v>55</v>
      </c>
    </row>
    <row r="20" spans="1:8" x14ac:dyDescent="0.25">
      <c r="A20" s="5">
        <v>45545</v>
      </c>
      <c r="B20" s="17">
        <f>MONTH(tbl_operations[[#This Row],[Data]])</f>
        <v>9</v>
      </c>
      <c r="C20" s="4" t="s">
        <v>8</v>
      </c>
      <c r="D20" s="4" t="s">
        <v>10</v>
      </c>
      <c r="E20" s="4" t="s">
        <v>39</v>
      </c>
      <c r="F20" s="6">
        <v>110</v>
      </c>
      <c r="G20" s="4" t="s">
        <v>50</v>
      </c>
      <c r="H20" s="8" t="s">
        <v>55</v>
      </c>
    </row>
    <row r="21" spans="1:8" x14ac:dyDescent="0.25">
      <c r="A21" s="5">
        <v>45546</v>
      </c>
      <c r="B21" s="17">
        <f>MONTH(tbl_operations[[#This Row],[Data]])</f>
        <v>9</v>
      </c>
      <c r="C21" s="7" t="s">
        <v>8</v>
      </c>
      <c r="D21" s="4" t="s">
        <v>10</v>
      </c>
      <c r="E21" s="4" t="s">
        <v>40</v>
      </c>
      <c r="F21" s="6">
        <v>490</v>
      </c>
      <c r="G21" s="4" t="s">
        <v>50</v>
      </c>
      <c r="H21" s="8" t="s">
        <v>54</v>
      </c>
    </row>
    <row r="22" spans="1:8" x14ac:dyDescent="0.25">
      <c r="A22" s="5">
        <v>45547</v>
      </c>
      <c r="B22" s="17">
        <f>MONTH(tbl_operations[[#This Row],[Data]])</f>
        <v>9</v>
      </c>
      <c r="C22" s="4" t="s">
        <v>8</v>
      </c>
      <c r="D22" s="4" t="s">
        <v>21</v>
      </c>
      <c r="E22" s="4" t="s">
        <v>38</v>
      </c>
      <c r="F22" s="6">
        <v>954.08</v>
      </c>
      <c r="G22" s="4" t="s">
        <v>50</v>
      </c>
      <c r="H22" s="8" t="s">
        <v>55</v>
      </c>
    </row>
    <row r="23" spans="1:8" x14ac:dyDescent="0.25">
      <c r="A23" s="5">
        <v>45548</v>
      </c>
      <c r="B23" s="17">
        <f>MONTH(tbl_operations[[#This Row],[Data]])</f>
        <v>9</v>
      </c>
      <c r="C23" s="4" t="s">
        <v>8</v>
      </c>
      <c r="D23" s="4" t="s">
        <v>22</v>
      </c>
      <c r="E23" s="4" t="s">
        <v>37</v>
      </c>
      <c r="F23" s="6">
        <v>366.82</v>
      </c>
      <c r="G23" s="4" t="s">
        <v>52</v>
      </c>
      <c r="H23" s="8" t="s">
        <v>54</v>
      </c>
    </row>
    <row r="24" spans="1:8" x14ac:dyDescent="0.25">
      <c r="A24" s="5">
        <v>45549</v>
      </c>
      <c r="B24" s="17">
        <f>MONTH(tbl_operations[[#This Row],[Data]])</f>
        <v>9</v>
      </c>
      <c r="C24" s="4" t="s">
        <v>7</v>
      </c>
      <c r="D24" s="4" t="s">
        <v>23</v>
      </c>
      <c r="E24" s="4" t="s">
        <v>41</v>
      </c>
      <c r="F24" s="6">
        <v>7808.31</v>
      </c>
      <c r="G24" s="4" t="s">
        <v>51</v>
      </c>
      <c r="H24" s="8" t="s">
        <v>53</v>
      </c>
    </row>
    <row r="25" spans="1:8" x14ac:dyDescent="0.25">
      <c r="A25" s="5">
        <v>45550</v>
      </c>
      <c r="B25" s="17">
        <f>MONTH(tbl_operations[[#This Row],[Data]])</f>
        <v>9</v>
      </c>
      <c r="C25" s="7" t="s">
        <v>8</v>
      </c>
      <c r="D25" s="4" t="s">
        <v>10</v>
      </c>
      <c r="E25" s="4" t="s">
        <v>42</v>
      </c>
      <c r="F25" s="6">
        <v>1200</v>
      </c>
      <c r="G25" s="4" t="s">
        <v>52</v>
      </c>
      <c r="H25" s="8" t="s">
        <v>54</v>
      </c>
    </row>
    <row r="26" spans="1:8" x14ac:dyDescent="0.25">
      <c r="A26" s="5">
        <v>45551</v>
      </c>
      <c r="B26" s="17">
        <f>MONTH(tbl_operations[[#This Row],[Data]])</f>
        <v>9</v>
      </c>
      <c r="C26" s="7" t="s">
        <v>8</v>
      </c>
      <c r="D26" s="4" t="s">
        <v>22</v>
      </c>
      <c r="E26" s="4" t="s">
        <v>43</v>
      </c>
      <c r="F26" s="6">
        <v>2115.1999999999998</v>
      </c>
      <c r="G26" s="4" t="s">
        <v>50</v>
      </c>
      <c r="H26" s="9" t="s">
        <v>55</v>
      </c>
    </row>
    <row r="27" spans="1:8" x14ac:dyDescent="0.25">
      <c r="A27" s="5">
        <v>45554</v>
      </c>
      <c r="B27" s="17">
        <f>MONTH(tbl_operations[[#This Row],[Data]])</f>
        <v>9</v>
      </c>
      <c r="C27" s="7" t="s">
        <v>8</v>
      </c>
      <c r="D27" s="4" t="s">
        <v>10</v>
      </c>
      <c r="E27" s="4" t="s">
        <v>42</v>
      </c>
      <c r="F27" s="6">
        <v>600</v>
      </c>
      <c r="G27" s="4" t="s">
        <v>51</v>
      </c>
      <c r="H27" s="8" t="s">
        <v>55</v>
      </c>
    </row>
    <row r="28" spans="1:8" x14ac:dyDescent="0.25">
      <c r="A28" s="5">
        <v>45555</v>
      </c>
      <c r="B28" s="17">
        <f>MONTH(tbl_operations[[#This Row],[Data]])</f>
        <v>9</v>
      </c>
      <c r="C28" s="4" t="s">
        <v>8</v>
      </c>
      <c r="D28" s="4" t="s">
        <v>20</v>
      </c>
      <c r="E28" s="4" t="s">
        <v>44</v>
      </c>
      <c r="F28" s="6">
        <v>1130.3800000000001</v>
      </c>
      <c r="G28" s="4" t="s">
        <v>51</v>
      </c>
      <c r="H28" s="9" t="s">
        <v>55</v>
      </c>
    </row>
    <row r="29" spans="1:8" x14ac:dyDescent="0.25">
      <c r="A29" s="5">
        <v>45556</v>
      </c>
      <c r="B29" s="17">
        <f>MONTH(tbl_operations[[#This Row],[Data]])</f>
        <v>9</v>
      </c>
      <c r="C29" s="4" t="s">
        <v>7</v>
      </c>
      <c r="D29" s="4" t="s">
        <v>23</v>
      </c>
      <c r="E29" s="4" t="s">
        <v>45</v>
      </c>
      <c r="F29" s="6">
        <v>11401.27</v>
      </c>
      <c r="G29" s="4" t="s">
        <v>51</v>
      </c>
      <c r="H29" s="8" t="s">
        <v>53</v>
      </c>
    </row>
    <row r="30" spans="1:8" x14ac:dyDescent="0.25">
      <c r="A30" s="5">
        <v>45557</v>
      </c>
      <c r="B30" s="17">
        <f>MONTH(tbl_operations[[#This Row],[Data]])</f>
        <v>9</v>
      </c>
      <c r="C30" s="4" t="s">
        <v>7</v>
      </c>
      <c r="D30" s="4" t="s">
        <v>9</v>
      </c>
      <c r="E30" s="4" t="s">
        <v>46</v>
      </c>
      <c r="F30" s="6">
        <v>16441.46</v>
      </c>
      <c r="G30" s="4" t="s">
        <v>50</v>
      </c>
      <c r="H30" s="8" t="s">
        <v>53</v>
      </c>
    </row>
    <row r="31" spans="1:8" x14ac:dyDescent="0.25">
      <c r="A31" s="5">
        <v>45558</v>
      </c>
      <c r="B31" s="17">
        <f>MONTH(tbl_operations[[#This Row],[Data]])</f>
        <v>9</v>
      </c>
      <c r="C31" s="4" t="s">
        <v>7</v>
      </c>
      <c r="D31" s="4" t="s">
        <v>23</v>
      </c>
      <c r="E31" s="7" t="s">
        <v>56</v>
      </c>
      <c r="F31" s="6">
        <v>14739.09</v>
      </c>
      <c r="G31" s="4" t="s">
        <v>50</v>
      </c>
      <c r="H31" s="8" t="s">
        <v>53</v>
      </c>
    </row>
    <row r="32" spans="1:8" x14ac:dyDescent="0.25">
      <c r="A32" s="5">
        <v>45559</v>
      </c>
      <c r="B32" s="17">
        <f>MONTH(tbl_operations[[#This Row],[Data]])</f>
        <v>9</v>
      </c>
      <c r="C32" s="4" t="s">
        <v>8</v>
      </c>
      <c r="D32" s="4" t="s">
        <v>21</v>
      </c>
      <c r="E32" s="4" t="s">
        <v>47</v>
      </c>
      <c r="F32" s="6">
        <v>2001.2</v>
      </c>
      <c r="G32" s="4" t="s">
        <v>50</v>
      </c>
      <c r="H32" s="8" t="s">
        <v>54</v>
      </c>
    </row>
    <row r="33" spans="1:8" x14ac:dyDescent="0.25">
      <c r="A33" s="5">
        <v>45560</v>
      </c>
      <c r="B33" s="17">
        <f>MONTH(tbl_operations[[#This Row],[Data]])</f>
        <v>9</v>
      </c>
      <c r="C33" s="7" t="s">
        <v>8</v>
      </c>
      <c r="D33" s="4" t="s">
        <v>10</v>
      </c>
      <c r="E33" s="4" t="s">
        <v>40</v>
      </c>
      <c r="F33" s="6">
        <v>450</v>
      </c>
      <c r="G33" s="4" t="s">
        <v>52</v>
      </c>
      <c r="H33" s="8" t="s">
        <v>55</v>
      </c>
    </row>
    <row r="34" spans="1:8" x14ac:dyDescent="0.25">
      <c r="A34" s="5">
        <v>45563</v>
      </c>
      <c r="B34" s="17">
        <f>MONTH(tbl_operations[[#This Row],[Data]])</f>
        <v>9</v>
      </c>
      <c r="C34" s="4" t="s">
        <v>8</v>
      </c>
      <c r="D34" s="4" t="s">
        <v>10</v>
      </c>
      <c r="E34" s="4" t="s">
        <v>42</v>
      </c>
      <c r="F34" s="6">
        <v>735.18</v>
      </c>
      <c r="G34" s="4" t="s">
        <v>52</v>
      </c>
      <c r="H34" s="8" t="s">
        <v>54</v>
      </c>
    </row>
    <row r="35" spans="1:8" x14ac:dyDescent="0.25">
      <c r="A35" s="5">
        <v>45564</v>
      </c>
      <c r="B35" s="17">
        <f>MONTH(tbl_operations[[#This Row],[Data]])</f>
        <v>9</v>
      </c>
      <c r="C35" s="4" t="s">
        <v>8</v>
      </c>
      <c r="D35" s="4" t="s">
        <v>22</v>
      </c>
      <c r="E35" s="4" t="s">
        <v>48</v>
      </c>
      <c r="F35" s="6">
        <v>735.17</v>
      </c>
      <c r="G35" s="4" t="s">
        <v>50</v>
      </c>
      <c r="H35" s="8" t="s">
        <v>55</v>
      </c>
    </row>
    <row r="36" spans="1:8" x14ac:dyDescent="0.25">
      <c r="A36" s="5">
        <v>45566</v>
      </c>
      <c r="B36" s="17">
        <f>MONTH(tbl_operations[[#This Row],[Data]])</f>
        <v>10</v>
      </c>
      <c r="C36" s="4" t="s">
        <v>7</v>
      </c>
      <c r="D36" s="4" t="s">
        <v>9</v>
      </c>
      <c r="E36" s="4" t="s">
        <v>24</v>
      </c>
      <c r="F36" s="6">
        <v>12085</v>
      </c>
      <c r="G36" s="4" t="s">
        <v>50</v>
      </c>
      <c r="H36" s="8" t="s">
        <v>53</v>
      </c>
    </row>
    <row r="37" spans="1:8" x14ac:dyDescent="0.25">
      <c r="A37" s="5">
        <v>45566</v>
      </c>
      <c r="B37" s="17">
        <f>MONTH(tbl_operations[[#This Row],[Data]])</f>
        <v>10</v>
      </c>
      <c r="C37" s="4" t="s">
        <v>8</v>
      </c>
      <c r="D37" s="4" t="s">
        <v>19</v>
      </c>
      <c r="E37" s="4" t="s">
        <v>49</v>
      </c>
      <c r="F37" s="6">
        <v>250</v>
      </c>
      <c r="G37" s="4" t="s">
        <v>51</v>
      </c>
      <c r="H37" s="8" t="s">
        <v>54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3" name="Button 10">
              <controlPr defaultSize="0" print="0" autoFill="0" autoPict="0" macro="[0]!IrParaDashboard">
                <anchor moveWithCells="1" sizeWithCells="1">
                  <from>
                    <xdr:col>8</xdr:col>
                    <xdr:colOff>182880</xdr:colOff>
                    <xdr:row>1</xdr:row>
                    <xdr:rowOff>76200</xdr:rowOff>
                  </from>
                  <to>
                    <xdr:col>10</xdr:col>
                    <xdr:colOff>251460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B89D3-3719-4911-AF37-975A59BD982C}">
  <sheetPr codeName="Planilha3"/>
  <dimension ref="C1:D22"/>
  <sheetViews>
    <sheetView topLeftCell="A2" workbookViewId="0">
      <selection activeCell="J13" sqref="J12:J13"/>
    </sheetView>
  </sheetViews>
  <sheetFormatPr defaultRowHeight="14.4" x14ac:dyDescent="0.3"/>
  <cols>
    <col min="3" max="3" width="20" customWidth="1"/>
    <col min="4" max="4" width="19.77734375" customWidth="1"/>
  </cols>
  <sheetData>
    <row r="1" spans="3:4" s="18" customFormat="1" ht="37.200000000000003" customHeight="1" x14ac:dyDescent="0.3"/>
    <row r="3" spans="3:4" ht="15.6" x14ac:dyDescent="0.3">
      <c r="C3" s="21" t="s">
        <v>65</v>
      </c>
      <c r="D3" s="22">
        <f>SUM(Tabela8[Depósito reservado])</f>
        <v>9842</v>
      </c>
    </row>
    <row r="4" spans="3:4" ht="15.6" x14ac:dyDescent="0.3">
      <c r="C4" s="21" t="s">
        <v>66</v>
      </c>
      <c r="D4" s="23">
        <v>30000</v>
      </c>
    </row>
    <row r="6" spans="3:4" x14ac:dyDescent="0.3">
      <c r="C6" t="s">
        <v>63</v>
      </c>
      <c r="D6" t="s">
        <v>64</v>
      </c>
    </row>
    <row r="7" spans="3:4" x14ac:dyDescent="0.3">
      <c r="C7" s="20">
        <v>45505</v>
      </c>
      <c r="D7" s="19">
        <v>244</v>
      </c>
    </row>
    <row r="8" spans="3:4" x14ac:dyDescent="0.3">
      <c r="C8" s="20">
        <v>45511</v>
      </c>
      <c r="D8" s="19">
        <v>172</v>
      </c>
    </row>
    <row r="9" spans="3:4" x14ac:dyDescent="0.3">
      <c r="C9" s="20">
        <v>45517</v>
      </c>
      <c r="D9" s="19">
        <v>560</v>
      </c>
    </row>
    <row r="10" spans="3:4" x14ac:dyDescent="0.3">
      <c r="C10" s="20">
        <v>45523</v>
      </c>
      <c r="D10" s="19">
        <v>451</v>
      </c>
    </row>
    <row r="11" spans="3:4" x14ac:dyDescent="0.3">
      <c r="C11" s="20">
        <v>45529</v>
      </c>
      <c r="D11" s="19">
        <v>1362</v>
      </c>
    </row>
    <row r="12" spans="3:4" x14ac:dyDescent="0.3">
      <c r="C12" s="20">
        <v>45535</v>
      </c>
      <c r="D12" s="19">
        <v>500</v>
      </c>
    </row>
    <row r="13" spans="3:4" x14ac:dyDescent="0.3">
      <c r="C13" s="20">
        <v>45541</v>
      </c>
      <c r="D13" s="19">
        <v>446</v>
      </c>
    </row>
    <row r="14" spans="3:4" x14ac:dyDescent="0.3">
      <c r="C14" s="20">
        <v>45547</v>
      </c>
      <c r="D14" s="19">
        <v>123</v>
      </c>
    </row>
    <row r="15" spans="3:4" x14ac:dyDescent="0.3">
      <c r="C15" s="20">
        <v>45553</v>
      </c>
      <c r="D15" s="19">
        <v>420</v>
      </c>
    </row>
    <row r="16" spans="3:4" x14ac:dyDescent="0.3">
      <c r="C16" s="20">
        <v>45559</v>
      </c>
      <c r="D16" s="19">
        <v>290</v>
      </c>
    </row>
    <row r="17" spans="3:4" x14ac:dyDescent="0.3">
      <c r="C17" s="20">
        <v>45565</v>
      </c>
      <c r="D17" s="19">
        <v>1362</v>
      </c>
    </row>
    <row r="18" spans="3:4" x14ac:dyDescent="0.3">
      <c r="C18" s="20">
        <v>45571</v>
      </c>
      <c r="D18" s="19">
        <v>401</v>
      </c>
    </row>
    <row r="19" spans="3:4" x14ac:dyDescent="0.3">
      <c r="C19" s="20">
        <v>45577</v>
      </c>
      <c r="D19" s="19">
        <v>431</v>
      </c>
    </row>
    <row r="20" spans="3:4" x14ac:dyDescent="0.3">
      <c r="C20" s="20">
        <v>45583</v>
      </c>
      <c r="D20" s="19">
        <v>352</v>
      </c>
    </row>
    <row r="21" spans="3:4" x14ac:dyDescent="0.3">
      <c r="C21" s="20">
        <v>45589</v>
      </c>
      <c r="D21" s="19">
        <v>423</v>
      </c>
    </row>
    <row r="22" spans="3:4" x14ac:dyDescent="0.3">
      <c r="C22" s="20">
        <v>45595</v>
      </c>
      <c r="D22" s="19">
        <v>2305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rParaDashboard">
                <anchor moveWithCells="1" sizeWithCells="1">
                  <from>
                    <xdr:col>4</xdr:col>
                    <xdr:colOff>106680</xdr:colOff>
                    <xdr:row>5</xdr:row>
                    <xdr:rowOff>22860</xdr:rowOff>
                  </from>
                  <to>
                    <xdr:col>6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43C7F-0617-474A-B6AE-958A5BE49D9B}">
  <sheetPr codeName="Planilha4"/>
  <dimension ref="B1:F15"/>
  <sheetViews>
    <sheetView topLeftCell="A2" zoomScale="80" zoomScaleNormal="80" workbookViewId="0">
      <selection activeCell="D25" sqref="D25"/>
    </sheetView>
  </sheetViews>
  <sheetFormatPr defaultRowHeight="14.4" x14ac:dyDescent="0.3"/>
  <cols>
    <col min="2" max="2" width="18.21875" bestFit="1" customWidth="1"/>
    <col min="3" max="3" width="13.88671875" bestFit="1" customWidth="1"/>
    <col min="5" max="5" width="18.21875" bestFit="1" customWidth="1"/>
    <col min="6" max="6" width="13.88671875" bestFit="1" customWidth="1"/>
  </cols>
  <sheetData>
    <row r="1" spans="2:6" ht="25.8" customHeight="1" x14ac:dyDescent="0.3">
      <c r="B1" s="13" t="s">
        <v>61</v>
      </c>
      <c r="C1" s="13"/>
    </row>
    <row r="2" spans="2:6" x14ac:dyDescent="0.3">
      <c r="B2" s="10" t="s">
        <v>1</v>
      </c>
      <c r="C2" t="s">
        <v>8</v>
      </c>
      <c r="E2" s="10" t="s">
        <v>1</v>
      </c>
      <c r="F2" t="s">
        <v>7</v>
      </c>
    </row>
    <row r="4" spans="2:6" x14ac:dyDescent="0.3">
      <c r="B4" s="10" t="s">
        <v>57</v>
      </c>
      <c r="C4" t="s">
        <v>59</v>
      </c>
      <c r="E4" s="10" t="s">
        <v>57</v>
      </c>
      <c r="F4" t="s">
        <v>59</v>
      </c>
    </row>
    <row r="5" spans="2:6" x14ac:dyDescent="0.3">
      <c r="B5" s="11" t="s">
        <v>10</v>
      </c>
      <c r="C5" s="12">
        <v>4135.18</v>
      </c>
      <c r="E5" s="11" t="s">
        <v>13</v>
      </c>
      <c r="F5" s="12">
        <v>10756.77</v>
      </c>
    </row>
    <row r="6" spans="2:6" x14ac:dyDescent="0.3">
      <c r="B6" s="11" t="s">
        <v>17</v>
      </c>
      <c r="C6" s="12">
        <v>450</v>
      </c>
      <c r="E6" s="11" t="s">
        <v>60</v>
      </c>
      <c r="F6" s="12">
        <v>34748.67</v>
      </c>
    </row>
    <row r="7" spans="2:6" x14ac:dyDescent="0.3">
      <c r="B7" s="11" t="s">
        <v>13</v>
      </c>
      <c r="C7" s="12">
        <v>4698.55</v>
      </c>
      <c r="E7" s="11" t="s">
        <v>9</v>
      </c>
      <c r="F7" s="12">
        <v>52696.46</v>
      </c>
    </row>
    <row r="8" spans="2:6" x14ac:dyDescent="0.3">
      <c r="B8" s="11" t="s">
        <v>16</v>
      </c>
      <c r="C8" s="12">
        <v>1200</v>
      </c>
      <c r="E8" s="11" t="s">
        <v>58</v>
      </c>
      <c r="F8" s="12">
        <v>98201.9</v>
      </c>
    </row>
    <row r="9" spans="2:6" x14ac:dyDescent="0.3">
      <c r="B9" s="11" t="s">
        <v>12</v>
      </c>
      <c r="C9" s="12">
        <v>1600.38</v>
      </c>
    </row>
    <row r="10" spans="2:6" x14ac:dyDescent="0.3">
      <c r="B10" s="11" t="s">
        <v>18</v>
      </c>
      <c r="C10" s="12">
        <v>180</v>
      </c>
    </row>
    <row r="11" spans="2:6" x14ac:dyDescent="0.3">
      <c r="B11" s="11" t="s">
        <v>22</v>
      </c>
      <c r="C11" s="12">
        <v>4935.2700000000004</v>
      </c>
    </row>
    <row r="12" spans="2:6" x14ac:dyDescent="0.3">
      <c r="B12" s="11" t="s">
        <v>15</v>
      </c>
      <c r="C12" s="12">
        <v>150</v>
      </c>
    </row>
    <row r="13" spans="2:6" x14ac:dyDescent="0.3">
      <c r="B13" s="11" t="s">
        <v>11</v>
      </c>
      <c r="C13" s="12">
        <v>550</v>
      </c>
    </row>
    <row r="14" spans="2:6" x14ac:dyDescent="0.3">
      <c r="B14" s="11" t="s">
        <v>14</v>
      </c>
      <c r="C14" s="12">
        <v>600</v>
      </c>
    </row>
    <row r="15" spans="2:6" x14ac:dyDescent="0.3">
      <c r="B15" s="11" t="s">
        <v>58</v>
      </c>
      <c r="C15" s="12">
        <v>18499.38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4B7F5-F2B2-4102-83BB-2FF8DA53EA9A}">
  <sheetPr codeName="Planilha1"/>
  <dimension ref="A1:U1"/>
  <sheetViews>
    <sheetView showGridLines="0" showRowColHeaders="0" tabSelected="1" zoomScale="70" zoomScaleNormal="70" workbookViewId="0">
      <selection activeCell="T29" sqref="T29"/>
    </sheetView>
  </sheetViews>
  <sheetFormatPr defaultColWidth="0" defaultRowHeight="14.4" x14ac:dyDescent="0.3"/>
  <cols>
    <col min="1" max="1" width="22.6640625" style="14" customWidth="1"/>
    <col min="2" max="21" width="8.88671875" style="15" customWidth="1"/>
    <col min="22" max="16384" width="8.88671875" hidden="1"/>
  </cols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IrParaData" altText="Ir para planilha Dados_x000a_">
                <anchor moveWithCells="1" sizeWithCells="1">
                  <from>
                    <xdr:col>0</xdr:col>
                    <xdr:colOff>106680</xdr:colOff>
                    <xdr:row>21</xdr:row>
                    <xdr:rowOff>60960</xdr:rowOff>
                  </from>
                  <to>
                    <xdr:col>0</xdr:col>
                    <xdr:colOff>1394460</xdr:colOff>
                    <xdr:row>25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IrParaCaixinha" altText="Ir para planilha Dados_x000a_">
                <anchor moveWithCells="1" sizeWithCells="1">
                  <from>
                    <xdr:col>0</xdr:col>
                    <xdr:colOff>91440</xdr:colOff>
                    <xdr:row>25</xdr:row>
                    <xdr:rowOff>137160</xdr:rowOff>
                  </from>
                  <to>
                    <xdr:col>0</xdr:col>
                    <xdr:colOff>1394460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Data</vt:lpstr>
      <vt:lpstr>Caixinha</vt:lpstr>
      <vt:lpstr>Controller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Dorival Rigonato Junior</dc:creator>
  <cp:lastModifiedBy>Dorival Rigonato Junior</cp:lastModifiedBy>
  <dcterms:created xsi:type="dcterms:W3CDTF">2024-12-07T03:41:34Z</dcterms:created>
  <dcterms:modified xsi:type="dcterms:W3CDTF">2024-12-07T23:35:51Z</dcterms:modified>
</cp:coreProperties>
</file>